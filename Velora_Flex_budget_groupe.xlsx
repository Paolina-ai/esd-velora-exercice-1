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40" windowWidth="30120" windowHeight="17500" tabRatio="500" firstSheet="0" activeTab="0" autoFilterDateGrouping="1"/>
  </bookViews>
  <sheets>
    <sheet name="Mode d'emploi" sheetId="1" state="visible" r:id="rId1"/>
    <sheet name="Hypothèses" sheetId="2" state="visible" r:id="rId2"/>
    <sheet name="Budget mensualisé" sheetId="3" state="visible" r:id="rId3"/>
    <sheet name="Synthèse" sheetId="4" state="visible" r:id="rId4"/>
    <sheet name="Coupe DAF" sheetId="5" state="visible" r:id="rId5"/>
    <sheet name="Scénarios" sheetId="6" state="visible" r:id="rId6"/>
    <sheet name="Risques" sheetId="7" state="visible" r:id="rId7"/>
    <sheet name="Pilotage M9" sheetId="8" state="visible" r:id="rId8"/>
    <sheet name="BMC" sheetId="9" state="visible" r:id="rId9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4" formatCode="#,##0;\(#,##0\);\-"/>
    <numFmt numFmtId="165" formatCode="0.0%;\(0.0%\);\-"/>
    <numFmt numFmtId="166" formatCode="#,##0.0;\(#,##0.0\);\-"/>
    <numFmt numFmtId="167" formatCode="#,##0.0;\(#,##0\);\-"/>
  </numFmts>
  <fonts count="20">
    <font>
      <name val="Calibri"/>
      <charset val="1"/>
      <family val="2"/>
      <color theme="1"/>
      <sz val="11"/>
    </font>
    <font>
      <name val="Arial"/>
      <family val="2"/>
      <b val="1"/>
      <color rgb="FF2A2921"/>
      <sz val="14"/>
    </font>
    <font>
      <name val="Arial"/>
      <family val="2"/>
      <i val="1"/>
      <color rgb="FF5A5A4C"/>
      <sz val="10"/>
    </font>
    <font>
      <name val="Arial"/>
      <family val="2"/>
      <color rgb="FF2A2921"/>
      <sz val="10"/>
    </font>
    <font>
      <name val="Arial"/>
      <family val="2"/>
      <b val="1"/>
      <color rgb="FF2A2921"/>
      <sz val="10"/>
    </font>
    <font>
      <name val="Arial"/>
      <family val="2"/>
      <color rgb="FF0000FF"/>
      <sz val="10"/>
    </font>
    <font>
      <name val="Arial"/>
      <family val="2"/>
      <color rgb="FF000000"/>
      <sz val="10"/>
    </font>
    <font>
      <name val="Arial"/>
      <family val="2"/>
      <color rgb="FF008000"/>
      <sz val="10"/>
    </font>
    <font>
      <name val="Arial"/>
      <family val="2"/>
      <b val="1"/>
      <color rgb="FFFFFFFF"/>
      <sz val="10"/>
    </font>
    <font>
      <name val="Arial"/>
      <family val="2"/>
      <b val="1"/>
      <color rgb="FF000000"/>
      <sz val="10"/>
    </font>
    <font>
      <name val="Arial"/>
      <family val="2"/>
      <b val="1"/>
      <color rgb="FF2A2921"/>
      <sz val="12"/>
    </font>
    <font>
      <name val="Arial"/>
      <color rgb="FF0000FF"/>
      <sz val="10"/>
    </font>
    <font>
      <name val="Arial"/>
      <color rgb="FF5A5A4C"/>
      <sz val="10"/>
    </font>
    <font>
      <name val="Arial"/>
      <color rgb="FF008000"/>
      <sz val="10"/>
    </font>
    <font>
      <name val="Arial"/>
      <b val="1"/>
      <color rgb="FF2A2921"/>
      <sz val="10"/>
    </font>
    <font>
      <name val="Arial"/>
      <color rgb="FF2A2921"/>
      <sz val="10"/>
    </font>
    <font>
      <name val="Arial"/>
      <color rgb="FF000000"/>
      <sz val="10"/>
    </font>
    <font>
      <name val="Arial"/>
      <i val="1"/>
      <color rgb="FF5A5A4C"/>
      <sz val="10"/>
    </font>
    <font>
      <name val="Arial"/>
      <b val="1"/>
      <color rgb="FF2A2921"/>
      <sz val="14"/>
    </font>
    <font>
      <name val="Arial"/>
      <b val="1"/>
      <color rgb="FFFFFFFF"/>
      <sz val="10"/>
    </font>
  </fonts>
  <fills count="9">
    <fill>
      <patternFill/>
    </fill>
    <fill>
      <patternFill patternType="gray125"/>
    </fill>
    <fill>
      <patternFill patternType="solid">
        <fgColor rgb="FFFFF2CC"/>
        <bgColor rgb="FFF3F2EC"/>
      </patternFill>
    </fill>
    <fill>
      <patternFill patternType="solid">
        <fgColor rgb="FF2A2921"/>
        <bgColor rgb="FF333300"/>
      </patternFill>
    </fill>
    <fill>
      <patternFill patternType="solid">
        <fgColor rgb="FFF3F2EC"/>
        <bgColor rgb="FFFFF2CC"/>
      </patternFill>
    </fill>
    <fill>
      <patternFill patternType="solid">
        <fgColor rgb="FFFFF2CC"/>
      </patternFill>
    </fill>
    <fill>
      <patternFill patternType="solid">
        <fgColor rgb="FFF3F2EC"/>
      </patternFill>
    </fill>
    <fill>
      <patternFill patternType="solid">
        <fgColor rgb="FF2A2921"/>
      </patternFill>
    </fill>
    <fill>
      <patternFill patternType="solid">
        <fgColor rgb="FFFFD966"/>
      </patternFill>
    </fill>
  </fills>
  <borders count="12">
    <border>
      <left/>
      <right/>
      <top/>
      <bottom/>
      <diagonal/>
    </border>
    <border>
      <left style="thin">
        <color rgb="FFBFBFB5"/>
      </left>
      <right style="thin">
        <color rgb="FFBFBFB5"/>
      </right>
      <top style="thin">
        <color rgb="FFBFBFB5"/>
      </top>
      <bottom style="thin">
        <color rgb="FFBFBFB5"/>
      </bottom>
      <diagonal/>
    </border>
    <border>
      <left/>
      <right/>
      <top style="thin">
        <color rgb="FFBFBFB5"/>
      </top>
      <bottom/>
      <diagonal/>
    </border>
    <border>
      <left/>
      <right style="thin">
        <color rgb="FFBFBFB5"/>
      </right>
      <top style="thin">
        <color rgb="FFBFBFB5"/>
      </top>
      <bottom/>
      <diagonal/>
    </border>
    <border>
      <left/>
      <right/>
      <top style="thin">
        <color rgb="FFBFBFB5"/>
      </top>
      <bottom style="thin">
        <color rgb="FFBFBFB5"/>
      </bottom>
      <diagonal/>
    </border>
    <border>
      <left/>
      <right style="thin">
        <color rgb="FFBFBFB5"/>
      </right>
      <top style="thin">
        <color rgb="FFBFBFB5"/>
      </top>
      <bottom style="thin">
        <color rgb="FFBFBFB5"/>
      </bottom>
      <diagonal/>
    </border>
    <border>
      <left style="thin">
        <color rgb="FFBFBFB5"/>
      </left>
      <right/>
      <top/>
      <bottom/>
      <diagonal/>
    </border>
    <border>
      <left/>
      <right style="thin">
        <color rgb="FFBFBFB5"/>
      </right>
      <top/>
      <bottom/>
      <diagonal/>
    </border>
    <border>
      <left style="thin">
        <color rgb="FFBFBFB5"/>
      </left>
      <right/>
      <top/>
      <bottom style="thin">
        <color rgb="FFBFBFB5"/>
      </bottom>
      <diagonal/>
    </border>
    <border>
      <left/>
      <right/>
      <top/>
      <bottom style="thin">
        <color rgb="FFBFBFB5"/>
      </bottom>
      <diagonal/>
    </border>
    <border>
      <left/>
      <right style="thin">
        <color rgb="FFBFBFB5"/>
      </right>
      <top/>
      <bottom style="thin">
        <color rgb="FFBFBFB5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5" fillId="2" borderId="1" applyAlignment="1" pivotButton="0" quotePrefix="0" xfId="0">
      <alignment vertical="top" wrapText="1"/>
    </xf>
    <xf numFmtId="0" fontId="8" fillId="3" borderId="1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center"/>
    </xf>
    <xf numFmtId="0" fontId="5" fillId="2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7" fillId="0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4" fillId="4" borderId="1" pivotButton="0" quotePrefix="0" xfId="0"/>
    <xf numFmtId="0" fontId="3" fillId="0" borderId="0" applyAlignment="1" pivotButton="0" quotePrefix="0" xfId="0">
      <alignment vertical="center"/>
    </xf>
    <xf numFmtId="164" fontId="5" fillId="0" borderId="1" applyAlignment="1" pivotButton="0" quotePrefix="0" xfId="0">
      <alignment vertical="center"/>
    </xf>
    <xf numFmtId="165" fontId="5" fillId="0" borderId="1" applyAlignment="1" pivotButton="0" quotePrefix="0" xfId="0">
      <alignment vertical="center"/>
    </xf>
    <xf numFmtId="4" fontId="5" fillId="0" borderId="1" applyAlignment="1" pivotButton="0" quotePrefix="0" xfId="0">
      <alignment vertical="center"/>
    </xf>
    <xf numFmtId="164" fontId="5" fillId="2" borderId="1" applyAlignment="1" pivotButton="0" quotePrefix="0" xfId="0">
      <alignment vertical="center"/>
    </xf>
    <xf numFmtId="166" fontId="5" fillId="2" borderId="1" applyAlignment="1" pivotButton="0" quotePrefix="0" xfId="0">
      <alignment vertical="center"/>
    </xf>
    <xf numFmtId="1" fontId="5" fillId="2" borderId="1" applyAlignment="1" pivotButton="0" quotePrefix="0" xfId="0">
      <alignment vertical="center"/>
    </xf>
    <xf numFmtId="4" fontId="5" fillId="2" borderId="1" applyAlignment="1" pivotButton="0" quotePrefix="0" xfId="0">
      <alignment vertical="center"/>
    </xf>
    <xf numFmtId="164" fontId="6" fillId="0" borderId="1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8" fillId="3" borderId="1" applyAlignment="1" pivotButton="0" quotePrefix="0" xfId="0">
      <alignment vertical="top" wrapText="1"/>
    </xf>
    <xf numFmtId="0" fontId="8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vertical="top" wrapText="1"/>
    </xf>
    <xf numFmtId="166" fontId="9" fillId="0" borderId="1" applyAlignment="1" pivotButton="0" quotePrefix="0" xfId="0">
      <alignment vertical="center"/>
    </xf>
    <xf numFmtId="164" fontId="9" fillId="0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164" fontId="7" fillId="0" borderId="1" applyAlignment="1" pivotButton="0" quotePrefix="0" xfId="0">
      <alignment vertical="center"/>
    </xf>
    <xf numFmtId="0" fontId="4" fillId="0" borderId="0" applyAlignment="1" pivotButton="0" quotePrefix="0" xfId="0">
      <alignment vertical="top" wrapText="1"/>
    </xf>
    <xf numFmtId="1" fontId="6" fillId="0" borderId="1" applyAlignment="1" pivotButton="0" quotePrefix="0" xfId="0">
      <alignment vertical="center"/>
    </xf>
    <xf numFmtId="165" fontId="6" fillId="0" borderId="1" applyAlignment="1" pivotButton="0" quotePrefix="0" xfId="0">
      <alignment vertical="center"/>
    </xf>
    <xf numFmtId="1" fontId="5" fillId="0" borderId="1" applyAlignment="1" pivotButton="0" quotePrefix="0" xfId="0">
      <alignment vertical="center"/>
    </xf>
    <xf numFmtId="165" fontId="5" fillId="2" borderId="1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1" fillId="5" borderId="11" applyAlignment="1" pivotButton="0" quotePrefix="0" xfId="0">
      <alignment horizontal="center" vertical="center"/>
    </xf>
    <xf numFmtId="0" fontId="12" fillId="0" borderId="0" applyAlignment="1" pivotButton="0" quotePrefix="0" xfId="0">
      <alignment vertical="top" wrapText="1"/>
    </xf>
    <xf numFmtId="164" fontId="11" fillId="5" borderId="11" applyAlignment="1" pivotButton="0" quotePrefix="0" xfId="0">
      <alignment vertical="center"/>
    </xf>
    <xf numFmtId="164" fontId="13" fillId="5" borderId="11" applyAlignment="1" pivotButton="0" quotePrefix="0" xfId="0">
      <alignment vertical="center"/>
    </xf>
    <xf numFmtId="0" fontId="14" fillId="6" borderId="11" applyAlignment="1" pivotButton="0" quotePrefix="0" xfId="0">
      <alignment vertical="center"/>
    </xf>
    <xf numFmtId="0" fontId="0" fillId="6" borderId="11" pivotButton="0" quotePrefix="0" xfId="0"/>
    <xf numFmtId="0" fontId="15" fillId="0" borderId="0" applyAlignment="1" pivotButton="0" quotePrefix="0" xfId="0">
      <alignment vertical="center"/>
    </xf>
    <xf numFmtId="1" fontId="11" fillId="5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164" fontId="16" fillId="5" borderId="11" applyAlignment="1" pivotButton="0" quotePrefix="0" xfId="0">
      <alignment vertical="center"/>
    </xf>
    <xf numFmtId="4" fontId="16" fillId="5" borderId="11" applyAlignment="1" pivotButton="0" quotePrefix="0" xfId="0">
      <alignment vertical="center"/>
    </xf>
    <xf numFmtId="0" fontId="15" fillId="2" borderId="1" applyAlignment="1" pivotButton="0" quotePrefix="0" xfId="0">
      <alignment vertical="center"/>
    </xf>
    <xf numFmtId="0" fontId="12" fillId="2" borderId="1" applyAlignment="1" pivotButton="0" quotePrefix="0" xfId="0">
      <alignment vertical="center"/>
    </xf>
    <xf numFmtId="0" fontId="12" fillId="2" borderId="1" applyAlignment="1" pivotButton="0" quotePrefix="0" xfId="0">
      <alignment vertical="top" wrapText="1"/>
    </xf>
    <xf numFmtId="165" fontId="11" fillId="5" borderId="11" applyAlignment="1" pivotButton="0" quotePrefix="0" xfId="0">
      <alignment vertical="center"/>
    </xf>
    <xf numFmtId="0" fontId="5" fillId="6" borderId="11" applyAlignment="1" pivotButton="0" quotePrefix="0" xfId="0">
      <alignment vertical="center"/>
    </xf>
    <xf numFmtId="4" fontId="16" fillId="0" borderId="11" applyAlignment="1" pivotButton="0" quotePrefix="0" xfId="0">
      <alignment vertical="center"/>
    </xf>
    <xf numFmtId="164" fontId="16" fillId="0" borderId="11" applyAlignment="1" pivotButton="0" quotePrefix="0" xfId="0">
      <alignment vertical="center"/>
    </xf>
    <xf numFmtId="165" fontId="16" fillId="0" borderId="11" applyAlignment="1" pivotButton="0" quotePrefix="0" xfId="0">
      <alignment vertical="center"/>
    </xf>
    <xf numFmtId="0" fontId="17" fillId="0" borderId="0" applyAlignment="1" pivotButton="0" quotePrefix="0" xfId="0">
      <alignment vertical="center"/>
    </xf>
    <xf numFmtId="0" fontId="11" fillId="5" borderId="11" applyAlignment="1" pivotButton="0" quotePrefix="0" xfId="0">
      <alignment vertical="top" wrapText="1"/>
    </xf>
    <xf numFmtId="167" fontId="16" fillId="0" borderId="11" applyAlignment="1" pivotButton="0" quotePrefix="0" xfId="0">
      <alignment vertical="center"/>
    </xf>
    <xf numFmtId="0" fontId="11" fillId="2" borderId="11" applyAlignment="1" pivotButton="0" quotePrefix="0" xfId="0">
      <alignment vertical="center"/>
    </xf>
    <xf numFmtId="164" fontId="13" fillId="0" borderId="11" applyAlignment="1" pivotButton="0" quotePrefix="0" xfId="0">
      <alignment vertical="center"/>
    </xf>
    <xf numFmtId="0" fontId="18" fillId="0" borderId="0" applyAlignment="1" pivotButton="0" quotePrefix="0" xfId="0">
      <alignment vertical="center"/>
    </xf>
    <xf numFmtId="0" fontId="19" fillId="7" borderId="11" applyAlignment="1" pivotButton="0" quotePrefix="0" xfId="0">
      <alignment vertical="center"/>
    </xf>
    <xf numFmtId="164" fontId="11" fillId="0" borderId="11" applyAlignment="1" pivotButton="0" quotePrefix="0" xfId="0">
      <alignment vertical="center"/>
    </xf>
    <xf numFmtId="0" fontId="11" fillId="0" borderId="11" applyAlignment="1" pivotButton="0" quotePrefix="0" xfId="0">
      <alignment vertical="top" wrapText="1"/>
    </xf>
    <xf numFmtId="0" fontId="14" fillId="0" borderId="0" applyAlignment="1" pivotButton="0" quotePrefix="0" xfId="0">
      <alignment vertical="center"/>
    </xf>
    <xf numFmtId="0" fontId="12" fillId="0" borderId="11" applyAlignment="1" pivotButton="0" quotePrefix="0" xfId="0">
      <alignment vertical="center"/>
    </xf>
    <xf numFmtId="4" fontId="13" fillId="0" borderId="11" applyAlignment="1" pivotButton="0" quotePrefix="0" xfId="0">
      <alignment vertical="center"/>
    </xf>
    <xf numFmtId="1" fontId="13" fillId="0" borderId="11" applyAlignment="1" pivotButton="0" quotePrefix="0" xfId="0">
      <alignment vertical="center"/>
    </xf>
    <xf numFmtId="165" fontId="13" fillId="0" borderId="11" applyAlignment="1" pivotButton="0" quotePrefix="0" xfId="0">
      <alignment vertical="center"/>
    </xf>
    <xf numFmtId="0" fontId="11" fillId="5" borderId="11" applyAlignment="1" pivotButton="0" quotePrefix="0" xfId="0">
      <alignment vertical="center"/>
    </xf>
    <xf numFmtId="4" fontId="13" fillId="5" borderId="11" applyAlignment="1" pivotButton="0" quotePrefix="0" xfId="0">
      <alignment vertical="center"/>
    </xf>
    <xf numFmtId="1" fontId="16" fillId="0" borderId="11" applyAlignment="1" pivotButton="0" quotePrefix="0" xfId="0">
      <alignment vertical="center"/>
    </xf>
    <xf numFmtId="1" fontId="12" fillId="0" borderId="11" applyAlignment="1" pivotButton="0" quotePrefix="0" xfId="0">
      <alignment vertical="center"/>
    </xf>
    <xf numFmtId="0" fontId="0" fillId="0" borderId="5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2" pivotButton="0" quotePrefix="0" xfId="0"/>
    <xf numFmtId="0" fontId="0" fillId="0" borderId="9" pivotButton="0" quotePrefix="0" xfId="0"/>
    <xf numFmtId="0" fontId="11" fillId="8" borderId="11" applyAlignment="1" pivotButton="0" quotePrefix="0" xfId="0">
      <alignment vertical="top" wrapText="1"/>
    </xf>
    <xf numFmtId="0" fontId="15" fillId="8" borderId="0" pivotButton="0" quotePrefix="0" xfId="0"/>
    <xf numFmtId="0" fontId="15" fillId="5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5"/>
      <rgbColor rgb="FF808080"/>
      <rgbColor rgb="FF9999FF"/>
      <rgbColor rgb="FF993366"/>
      <rgbColor rgb="FFFFF2CC"/>
      <rgbColor rgb="FFF3F2E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5A4C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A2921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topLeftCell="A3" zoomScale="200" zoomScaleNormal="100" workbookViewId="0">
      <selection activeCell="A6" sqref="A6"/>
    </sheetView>
  </sheetViews>
  <sheetFormatPr baseColWidth="10" defaultColWidth="8.6640625" defaultRowHeight="15"/>
  <cols>
    <col width="110" customWidth="1" min="1" max="1"/>
  </cols>
  <sheetData>
    <row r="1" ht="18" customHeight="1">
      <c r="A1" s="3" t="inlineStr">
        <is>
          <t>Vélora Flex — budget sur 18 mois · modèle à compléter</t>
        </is>
      </c>
    </row>
    <row r="2">
      <c r="A2" s="4" t="inlineStr">
        <is>
          <t>Cours Business models et budgétisation · cas fictif, hypothèses pédagogiques</t>
        </is>
      </c>
    </row>
    <row r="4" ht="31.5" customHeight="1">
      <c r="A4" s="5" t="inlineStr">
        <is>
          <t>1. Onglet Hypothèses : vérifiez les données du cas, saisissez vos choix (option de plateforme, réserve de vélos, achat ou location, rythme d'acquisition), puis calculez les valeurs dérivées.</t>
        </is>
      </c>
    </row>
    <row r="5" ht="31.5" customHeight="1">
      <c r="A5" s="5" t="inlineStr">
        <is>
          <t>2. Onglet Budget mensualisé : remplissez chaque ligne mois par mois, uniquement par des formules qui renvoient à l'onglet Hypothèses. Aucun chiffre saisi en dur.</t>
        </is>
      </c>
    </row>
    <row r="6" ht="31.5" customHeight="1">
      <c r="A6" s="5" t="inlineStr">
        <is>
          <t>3. Pour chaque ligne, indiquez Fixe ou Variable, CAPEX ou OPEX, et l'hypothèse ou la formule utilisée. La ligne « Chef de projet » est déjà remplie à titre d'exemple.</t>
        </is>
      </c>
    </row>
    <row r="7" ht="31.5" customHeight="1">
      <c r="A7" s="5" t="inlineStr">
        <is>
          <t>4. Ordre conseillé : abonnés (activité), revenus, flotte, plateforme, RH, média, exploitation. Les sous-totaux, totaux et cumuls se calculent seuls.</t>
        </is>
      </c>
    </row>
    <row r="8" ht="31.5" customHeight="1">
      <c r="A8" s="5" t="inlineStr">
        <is>
          <t>5. Onglet Synthèse : lisez le total par compartiment, l'écart avec l'enveloppe de 1,1 M€ et le mois où l'exploitation devient positive. Complétez le point mort.</t>
        </is>
      </c>
    </row>
    <row r="9" ht="31.5" customHeight="1">
      <c r="A9" s="5" t="inlineStr">
        <is>
          <t>6. Bloc 4 : onglets Scénarios (trois chocs), Risques (registre et provision) et Pilotage M9 (écarts et coût à terminaison).</t>
        </is>
      </c>
    </row>
    <row r="10" ht="31.5" customHeight="1">
      <c r="A10" s="5" t="inlineStr">
        <is>
          <t>7. Onglet BMC : les deux Business Model Canvas de l'exercice 1 du bloc 1.</t>
        </is>
      </c>
    </row>
    <row r="11" ht="31.5" customHeight="1">
      <c r="A11" s="5" t="inlineStr">
        <is>
          <t>Contrôles utiles : abonnés actifs au mois 18 = objectif ; flotte = abonnés actifs + réserve ; total des coûts = somme des sous-totaux.</t>
        </is>
      </c>
    </row>
    <row r="13">
      <c r="A13" s="6" t="inlineStr">
        <is>
          <t>Légende</t>
        </is>
      </c>
    </row>
    <row r="14">
      <c r="A14" s="7" t="inlineStr">
        <is>
          <t>Cellule jaune : à remplir par le groupe (valeur ou formule)</t>
        </is>
      </c>
    </row>
    <row r="15">
      <c r="A15" s="8" t="inlineStr">
        <is>
          <t>Texte bleu : donnée du cas ou hypothèse saisie</t>
        </is>
      </c>
    </row>
    <row r="16">
      <c r="A16" s="9" t="inlineStr">
        <is>
          <t>Texte noir : formule, ne pas écraser</t>
        </is>
      </c>
    </row>
    <row r="17">
      <c r="A17" s="10" t="inlineStr">
        <is>
          <t>Texte vert : valeur reprise d'un autre onglet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8"/>
  <sheetViews>
    <sheetView zoomScale="142" zoomScaleNormal="100" workbookViewId="0">
      <pane xSplit="1" ySplit="4" topLeftCell="B8" activePane="bottomRight" state="frozen"/>
      <selection pane="topRight" activeCell="B1" sqref="B1"/>
      <selection pane="bottomLeft" activeCell="A5" sqref="A5"/>
      <selection pane="bottomRight" activeCell="A1" sqref="A1"/>
    </sheetView>
  </sheetViews>
  <sheetFormatPr baseColWidth="10" defaultColWidth="8.6640625" defaultRowHeight="15"/>
  <cols>
    <col width="52" customWidth="1" min="1" max="1"/>
    <col width="16" customWidth="1" min="2" max="2"/>
    <col width="18" customWidth="1" min="3" max="3"/>
    <col width="70" customWidth="1" min="4" max="4"/>
  </cols>
  <sheetData>
    <row r="1" ht="18" customHeight="1">
      <c r="A1" s="3" t="inlineStr">
        <is>
          <t>Hypothèses</t>
        </is>
      </c>
    </row>
    <row r="2">
      <c r="A2" s="4" t="inlineStr">
        <is>
          <t>Toutes les lignes du budget doivent renvoyer à cet onglet</t>
        </is>
      </c>
    </row>
    <row r="4">
      <c r="A4" s="11" t="inlineStr">
        <is>
          <t>Hypothèse</t>
        </is>
      </c>
      <c r="B4" s="11" t="inlineStr">
        <is>
          <t>Valeur</t>
        </is>
      </c>
      <c r="C4" s="11" t="inlineStr">
        <is>
          <t>Unité</t>
        </is>
      </c>
      <c r="D4" s="11" t="inlineStr">
        <is>
          <t>Source ou commentaire</t>
        </is>
      </c>
    </row>
    <row r="5">
      <c r="A5" s="12" t="inlineStr">
        <is>
          <t>Données du cas (fiche Vélora Flex)</t>
        </is>
      </c>
      <c r="B5" s="12" t="n"/>
      <c r="C5" s="12" t="n"/>
      <c r="D5" s="12" t="n"/>
    </row>
    <row r="6">
      <c r="A6" s="13" t="inlineStr">
        <is>
          <t>Prix de l'abonnement</t>
        </is>
      </c>
      <c r="B6" s="14" t="n">
        <v>49</v>
      </c>
      <c r="C6" s="4" t="inlineStr">
        <is>
          <t>€ HT par mois</t>
        </is>
      </c>
      <c r="D6" s="4" t="inlineStr">
        <is>
          <t>Donnée du cas</t>
        </is>
      </c>
    </row>
    <row r="7">
      <c r="A7" s="13" t="inlineStr">
        <is>
          <t>Objectif d'abonnés actifs en fin d'horizon</t>
        </is>
      </c>
      <c r="B7" s="14" t="n">
        <v>1200</v>
      </c>
      <c r="C7" s="4" t="inlineStr">
        <is>
          <t>abonnés</t>
        </is>
      </c>
      <c r="D7" s="4" t="inlineStr">
        <is>
          <t>Donnée du cas</t>
        </is>
      </c>
    </row>
    <row r="8">
      <c r="A8" s="13" t="inlineStr">
        <is>
          <t>Horizon du projet</t>
        </is>
      </c>
      <c r="B8" s="14" t="n">
        <v>18</v>
      </c>
      <c r="C8" s="4" t="inlineStr">
        <is>
          <t>mois</t>
        </is>
      </c>
      <c r="D8" s="4" t="inlineStr">
        <is>
          <t>Donnée du cas</t>
        </is>
      </c>
    </row>
    <row r="9">
      <c r="A9" s="13" t="inlineStr">
        <is>
          <t>Mois du lancement commercial</t>
        </is>
      </c>
      <c r="B9" s="14" t="n">
        <v>4</v>
      </c>
      <c r="C9" s="4" t="inlineStr">
        <is>
          <t>n° de mois</t>
        </is>
      </c>
      <c r="D9" s="4" t="inlineStr">
        <is>
          <t>Donnée du cas</t>
        </is>
      </c>
    </row>
    <row r="10">
      <c r="A10" s="13" t="inlineStr">
        <is>
          <t>Résiliation mensuelle (churn)</t>
        </is>
      </c>
      <c r="B10" s="15" t="n">
        <v>0.04</v>
      </c>
      <c r="C10" s="4" t="inlineStr">
        <is>
          <t>% par mois</t>
        </is>
      </c>
      <c r="D10" s="4" t="inlineStr">
        <is>
          <t>Donnée du cas</t>
        </is>
      </c>
    </row>
    <row r="11">
      <c r="A11" s="13" t="inlineStr">
        <is>
          <t>Coût de revient d'un vélo</t>
        </is>
      </c>
      <c r="B11" s="14" t="n">
        <v>600</v>
      </c>
      <c r="C11" s="4" t="inlineStr">
        <is>
          <t>€</t>
        </is>
      </c>
      <c r="D11" s="4" t="inlineStr">
        <is>
          <t>Donnée du cas</t>
        </is>
      </c>
    </row>
    <row r="12">
      <c r="A12" s="13" t="inlineStr">
        <is>
          <t>Durée d'usage d'un vélo</t>
        </is>
      </c>
      <c r="B12" s="14" t="n">
        <v>36</v>
      </c>
      <c r="C12" s="4" t="inlineStr">
        <is>
          <t>mois</t>
        </is>
      </c>
      <c r="D12" s="4" t="inlineStr">
        <is>
          <t>Donnée du cas (3 ans)</t>
        </is>
      </c>
    </row>
    <row r="13">
      <c r="A13" s="13" t="inlineStr">
        <is>
          <t>Entretien et assurance</t>
        </is>
      </c>
      <c r="B13" s="14" t="n">
        <v>9</v>
      </c>
      <c r="C13" s="4" t="inlineStr">
        <is>
          <t>€ par abonné et par mois</t>
        </is>
      </c>
      <c r="D13" s="4" t="inlineStr">
        <is>
          <t>Donnée du cas</t>
        </is>
      </c>
    </row>
    <row r="14">
      <c r="A14" s="13" t="inlineStr">
        <is>
          <t>Plateforme A : charge de développement</t>
        </is>
      </c>
      <c r="B14" s="14" t="n">
        <v>120</v>
      </c>
      <c r="C14" s="4" t="inlineStr">
        <is>
          <t>jours-homme</t>
        </is>
      </c>
      <c r="D14" s="4" t="inlineStr">
        <is>
          <t>Donnée du cas</t>
        </is>
      </c>
    </row>
    <row r="15">
      <c r="A15" s="13" t="inlineStr">
        <is>
          <t>Plateforme A : TJM de l'agence</t>
        </is>
      </c>
      <c r="B15" s="14" t="n">
        <v>650</v>
      </c>
      <c r="C15" s="4" t="inlineStr">
        <is>
          <t>€ par jour</t>
        </is>
      </c>
      <c r="D15" s="4" t="inlineStr">
        <is>
          <t>Donnée du cas</t>
        </is>
      </c>
    </row>
    <row r="16">
      <c r="A16" s="13" t="inlineStr">
        <is>
          <t>Plateforme A : maintenance annuelle</t>
        </is>
      </c>
      <c r="B16" s="15" t="n">
        <v>0.15</v>
      </c>
      <c r="C16" s="4" t="inlineStr">
        <is>
          <t>% du développement</t>
        </is>
      </c>
      <c r="D16" s="4" t="inlineStr">
        <is>
          <t>Donnée du cas</t>
        </is>
      </c>
    </row>
    <row r="17">
      <c r="A17" s="13" t="inlineStr">
        <is>
          <t>Plateforme B : abonnement SaaS</t>
        </is>
      </c>
      <c r="B17" s="14" t="n">
        <v>1500</v>
      </c>
      <c r="C17" s="4" t="inlineStr">
        <is>
          <t>€ par mois</t>
        </is>
      </c>
      <c r="D17" s="4" t="inlineStr">
        <is>
          <t>Donnée du cas</t>
        </is>
      </c>
    </row>
    <row r="18">
      <c r="A18" s="13" t="inlineStr">
        <is>
          <t>Plateforme B : commission</t>
        </is>
      </c>
      <c r="B18" s="15" t="n">
        <v>0.02</v>
      </c>
      <c r="C18" s="4" t="inlineStr">
        <is>
          <t>% du chiffre d'affaires</t>
        </is>
      </c>
      <c r="D18" s="4" t="inlineStr">
        <is>
          <t>Donnée du cas</t>
        </is>
      </c>
    </row>
    <row r="19">
      <c r="A19" s="13" t="inlineStr">
        <is>
          <t>Chef de projet : salaire brut</t>
        </is>
      </c>
      <c r="B19" s="14" t="n">
        <v>48000</v>
      </c>
      <c r="C19" s="4" t="inlineStr">
        <is>
          <t>€ par an</t>
        </is>
      </c>
      <c r="D19" s="4" t="inlineStr">
        <is>
          <t>Donnée du cas</t>
        </is>
      </c>
    </row>
    <row r="20">
      <c r="A20" s="13" t="inlineStr">
        <is>
          <t>Responsable marketing digital : salaire brut</t>
        </is>
      </c>
      <c r="B20" s="14" t="n">
        <v>44000</v>
      </c>
      <c r="C20" s="4" t="inlineStr">
        <is>
          <t>€ par an</t>
        </is>
      </c>
      <c r="D20" s="4" t="inlineStr">
        <is>
          <t>Donnée du cas</t>
        </is>
      </c>
    </row>
    <row r="21">
      <c r="A21" s="13" t="inlineStr">
        <is>
          <t>Responsable marketing digital : quotité</t>
        </is>
      </c>
      <c r="B21" s="15" t="n">
        <v>0.5</v>
      </c>
      <c r="C21" s="4" t="inlineStr">
        <is>
          <t>part du temps</t>
        </is>
      </c>
      <c r="D21" s="4" t="inlineStr">
        <is>
          <t>Donnée du cas (mi-temps)</t>
        </is>
      </c>
    </row>
    <row r="22">
      <c r="A22" s="13" t="inlineStr">
        <is>
          <t>Technicien : salaire brut</t>
        </is>
      </c>
      <c r="B22" s="14" t="n">
        <v>28000</v>
      </c>
      <c r="C22" s="4" t="inlineStr">
        <is>
          <t>€ par an</t>
        </is>
      </c>
      <c r="D22" s="4" t="inlineStr">
        <is>
          <t>Donnée du cas</t>
        </is>
      </c>
    </row>
    <row r="23">
      <c r="A23" s="13" t="inlineStr">
        <is>
          <t>Nombre de techniciens</t>
        </is>
      </c>
      <c r="B23" s="14" t="n">
        <v>2</v>
      </c>
      <c r="C23" s="4" t="inlineStr">
        <is>
          <t>personnes</t>
        </is>
      </c>
      <c r="D23" s="4" t="inlineStr">
        <is>
          <t>Donnée du cas</t>
        </is>
      </c>
    </row>
    <row r="24">
      <c r="A24" s="13" t="inlineStr">
        <is>
          <t>Mois d'embauche des techniciens</t>
        </is>
      </c>
      <c r="B24" s="14" t="n">
        <v>6</v>
      </c>
      <c r="C24" s="4" t="inlineStr">
        <is>
          <t>n° de mois</t>
        </is>
      </c>
      <c r="D24" s="4" t="inlineStr">
        <is>
          <t>Donnée du cas</t>
        </is>
      </c>
    </row>
    <row r="25">
      <c r="A25" s="13" t="inlineStr">
        <is>
          <t>Coefficient de charges patronales</t>
        </is>
      </c>
      <c r="B25" s="16" t="n">
        <v>1.45</v>
      </c>
      <c r="C25" s="4" t="inlineStr">
        <is>
          <t>multiplicateur</t>
        </is>
      </c>
      <c r="D25" s="4" t="inlineStr">
        <is>
          <t>Donnée du cas, hypothèse pédagogique</t>
        </is>
      </c>
    </row>
    <row r="26">
      <c r="A26" s="13" t="inlineStr">
        <is>
          <t>Coût par clic moyen (CPC)</t>
        </is>
      </c>
      <c r="B26" s="16" t="n">
        <v>1.1</v>
      </c>
      <c r="C26" s="4" t="inlineStr">
        <is>
          <t>€</t>
        </is>
      </c>
      <c r="D26" s="4" t="inlineStr">
        <is>
          <t>Donnée du cas</t>
        </is>
      </c>
    </row>
    <row r="27">
      <c r="A27" s="13" t="inlineStr">
        <is>
          <t>Taux de conversion visite → abonnement</t>
        </is>
      </c>
      <c r="B27" s="15" t="n">
        <v>0.012</v>
      </c>
      <c r="C27" s="4" t="inlineStr">
        <is>
          <t>%</t>
        </is>
      </c>
      <c r="D27" s="4" t="inlineStr">
        <is>
          <t>Donnée du cas</t>
        </is>
      </c>
    </row>
    <row r="28">
      <c r="A28" s="13" t="inlineStr">
        <is>
          <t>Enveloppe maximale, flotte comprise</t>
        </is>
      </c>
      <c r="B28" s="14" t="n">
        <v>1100000</v>
      </c>
      <c r="C28" s="4" t="inlineStr">
        <is>
          <t>€</t>
        </is>
      </c>
      <c r="D28" s="4" t="inlineStr">
        <is>
          <t>Donnée du cas</t>
        </is>
      </c>
    </row>
    <row r="30">
      <c r="A30" s="12" t="inlineStr">
        <is>
          <t>Choix du groupe</t>
        </is>
      </c>
      <c r="B30" s="12" t="n"/>
      <c r="C30" s="12" t="n"/>
      <c r="D30" s="12" t="n"/>
    </row>
    <row r="31">
      <c r="A31" s="13" t="inlineStr">
        <is>
          <t>Option de plateforme (A = sur mesure, B = SaaS)</t>
        </is>
      </c>
      <c r="B31" s="36" t="inlineStr">
        <is>
          <t>B</t>
        </is>
      </c>
      <c r="C31" s="4" t="inlineStr">
        <is>
          <t>A ou B</t>
        </is>
      </c>
      <c r="D31" s="37" t="inlineStr">
        <is>
          <t>SaaS retenu : aucune mise de départ, un coût qui suit l'activité. Sur 18 mois il coûte environ 37 k€ contre 93 k€ pour le sur mesure, dont le payback est de 46 mois (exercice 3)</t>
        </is>
      </c>
    </row>
    <row r="32">
      <c r="A32" s="13" t="inlineStr">
        <is>
          <t>Vélos de réserve (atelier, vols, casse)</t>
        </is>
      </c>
      <c r="B32" s="38" t="n">
        <v>60</v>
      </c>
      <c r="C32" s="4" t="inlineStr">
        <is>
          <t>vélos</t>
        </is>
      </c>
      <c r="D32" s="37" t="inlineStr">
        <is>
          <t>5 % de l'objectif : vélos en révision à l'atelier, ou en remplacement après un vol ou une casse</t>
        </is>
      </c>
    </row>
    <row r="33">
      <c r="A33" s="13" t="inlineStr">
        <is>
          <t>Plafond de vélos achetés (au-delà, les vélos sont loués)</t>
        </is>
      </c>
      <c r="B33" s="38" t="n">
        <v>600</v>
      </c>
      <c r="C33" s="4" t="inlineStr">
        <is>
          <t>vélos</t>
        </is>
      </c>
      <c r="D33" s="37" t="inlineStr">
        <is>
          <t>Socle acheté : 600 vélos × 600 € = 360 k€. Au-delà, location : la flotte suit les abonnés, se rend si la montée en charge déçoit, et le budget tient dans l'enveloppe</t>
        </is>
      </c>
    </row>
    <row r="34">
      <c r="A34" s="13" t="inlineStr">
        <is>
          <t>Loyer mensuel d'un vélo loué</t>
        </is>
      </c>
      <c r="B34" s="38" t="n">
        <v>25</v>
      </c>
      <c r="C34" s="4" t="inlineStr">
        <is>
          <t>€ par vélo et par mois</t>
        </is>
      </c>
      <c r="D34" s="37" t="inlineStr">
        <is>
          <t>Hypothèse du groupe : location longue durée d'un vélo nu (entretien et assurance déjà comptés à 9 €). Plus cher que l'amortissement (16,67 €) : c'est le prix de la souplesse</t>
        </is>
      </c>
    </row>
    <row r="35">
      <c r="A35" s="13" t="inlineStr">
        <is>
          <t>Nouveaux abonnés par mois (vide = calculé pour atteindre l'objectif)</t>
        </is>
      </c>
      <c r="B35" s="38" t="n"/>
      <c r="C35" s="4" t="inlineStr">
        <is>
          <t>abonnés par mois</t>
        </is>
      </c>
      <c r="D35" s="37" t="inlineStr">
        <is>
          <t>Laissé vide : calculé pour atteindre l'objectif au mois 18 (valeur en B46)</t>
        </is>
      </c>
    </row>
    <row r="36">
      <c r="A36" s="13" t="inlineStr">
        <is>
          <t>Provision pour aléas</t>
        </is>
      </c>
      <c r="B36" s="39">
        <f>Risques!D10</f>
        <v/>
      </c>
      <c r="C36" s="4" t="inlineStr">
        <is>
          <t>€</t>
        </is>
      </c>
      <c r="D36" s="37" t="inlineStr">
        <is>
          <t>Somme des valeurs attendues du registre des risques (onglet Risques), répartie sur 18 mois dans le budget</t>
        </is>
      </c>
    </row>
    <row r="38">
      <c r="A38" s="40" t="inlineStr">
        <is>
          <t>Pilotage des versions</t>
        </is>
      </c>
      <c r="B38" s="41" t="n"/>
      <c r="C38" s="41" t="n"/>
      <c r="D38" s="41" t="n"/>
    </row>
    <row r="39">
      <c r="A39" s="42" t="inlineStr">
        <is>
          <t>Scénario actif (1 à 5, onglet Scénarios)</t>
        </is>
      </c>
      <c r="B39" s="43" t="n">
        <v>1</v>
      </c>
      <c r="C39" s="44" t="inlineStr">
        <is>
          <t>n°</t>
        </is>
      </c>
      <c r="D39" s="37" t="inlineStr">
        <is>
          <t>1 = référence. Bloc 4 : passer à 2, 3, 4 ou 5 pour le stress-test, relever l'onglet Synthèse, puis revenir à 1</t>
        </is>
      </c>
    </row>
    <row r="40">
      <c r="A40" s="42" t="inlineStr">
        <is>
          <t>Version du budget (1 = initiale, 2 = après coupe du DAF)</t>
        </is>
      </c>
      <c r="B40" s="43" t="n">
        <v>1</v>
      </c>
      <c r="C40" s="44" t="inlineStr">
        <is>
          <t>n°</t>
        </is>
      </c>
      <c r="D40" s="37" t="inlineStr">
        <is>
          <t>Bloc 2 : la version 2 applique les leviers de l'onglet Coupe DAF (lignes 64 à 67)</t>
        </is>
      </c>
    </row>
    <row r="44">
      <c r="A44" s="12" t="inlineStr">
        <is>
          <t>Valeurs calculées</t>
        </is>
      </c>
      <c r="B44" s="12" t="n"/>
      <c r="C44" s="12" t="n"/>
      <c r="D44" s="12" t="n"/>
    </row>
    <row r="45">
      <c r="A45" s="13" t="inlineStr">
        <is>
          <t>Nombre de mois commerciaux</t>
        </is>
      </c>
      <c r="B45" s="45">
        <f>$B$8-$B$71+1</f>
        <v/>
      </c>
      <c r="C45" s="4" t="inlineStr">
        <is>
          <t>mois</t>
        </is>
      </c>
      <c r="D45" s="44" t="inlineStr">
        <is>
          <t>Horizon − mois de lancement appliqué + 1</t>
        </is>
      </c>
    </row>
    <row r="46">
      <c r="A46" s="13" t="inlineStr">
        <is>
          <t>Nouveaux abonnés par mois</t>
        </is>
      </c>
      <c r="B46" s="46">
        <f>IF(ISBLANK($B$35),$B$73*$B$72/(1-(1-$B$72)^$B$45),$B$35)</f>
        <v/>
      </c>
      <c r="C46" s="4" t="inlineStr">
        <is>
          <t>abonnés par mois</t>
        </is>
      </c>
      <c r="D46" s="44" t="inlineStr">
        <is>
          <t>Objectif appliqué × churn ÷ (1 − (1 − churn) puissance nombre de mois)</t>
        </is>
      </c>
    </row>
    <row r="47">
      <c r="A47" s="13" t="inlineStr">
        <is>
          <t>Coût d'acquisition (CAC)</t>
        </is>
      </c>
      <c r="B47" s="46">
        <f>$B$70/$B$27</f>
        <v/>
      </c>
      <c r="C47" s="4" t="inlineStr">
        <is>
          <t>€ par abonné</t>
        </is>
      </c>
      <c r="D47" s="44" t="inlineStr">
        <is>
          <t>CPC appliqué ÷ taux de conversion</t>
        </is>
      </c>
    </row>
    <row r="48">
      <c r="A48" s="13" t="inlineStr">
        <is>
          <t>Chef de projet : coût mensuel chargé</t>
        </is>
      </c>
      <c r="B48" s="21">
        <f>B19*B25/12</f>
        <v/>
      </c>
      <c r="C48" s="4" t="inlineStr">
        <is>
          <t>€ par mois</t>
        </is>
      </c>
      <c r="D48" s="4" t="inlineStr">
        <is>
          <t>Exemple déjà rempli : brut × coefficient ÷ 12</t>
        </is>
      </c>
    </row>
    <row r="49">
      <c r="A49" s="13" t="inlineStr">
        <is>
          <t>Responsable marketing : coût mensuel chargé</t>
        </is>
      </c>
      <c r="B49" s="45">
        <f>B20*B21*B25/12</f>
        <v/>
      </c>
      <c r="C49" s="4" t="inlineStr">
        <is>
          <t>€ par mois</t>
        </is>
      </c>
      <c r="D49" s="4" t="inlineStr">
        <is>
          <t>Brut × quotité × coefficient ÷ 12</t>
        </is>
      </c>
    </row>
    <row r="50">
      <c r="A50" s="13" t="inlineStr">
        <is>
          <t>Techniciens : coût mensuel chargé</t>
        </is>
      </c>
      <c r="B50" s="45">
        <f>B22*B23*B25/12</f>
        <v/>
      </c>
      <c r="C50" s="4" t="inlineStr">
        <is>
          <t>€ par mois</t>
        </is>
      </c>
      <c r="D50" s="4" t="inlineStr">
        <is>
          <t>Brut × nombre × coefficient ÷ 12</t>
        </is>
      </c>
    </row>
    <row r="51">
      <c r="A51" s="13" t="inlineStr">
        <is>
          <t>Plateforme A : coût de développement</t>
        </is>
      </c>
      <c r="B51" s="45">
        <f>B14*B15</f>
        <v/>
      </c>
      <c r="C51" s="4" t="inlineStr">
        <is>
          <t>€</t>
        </is>
      </c>
      <c r="D51" s="4" t="inlineStr">
        <is>
          <t>Jours-homme × TJM</t>
        </is>
      </c>
    </row>
    <row r="52">
      <c r="A52" s="13" t="inlineStr">
        <is>
          <t>Plateforme A : maintenance mensuelle</t>
        </is>
      </c>
      <c r="B52" s="45">
        <f>B51*B16/12</f>
        <v/>
      </c>
      <c r="C52" s="4" t="inlineStr">
        <is>
          <t>€ par mois</t>
        </is>
      </c>
      <c r="D52" s="4" t="inlineStr">
        <is>
          <t>Développement × 15 % ÷ 12</t>
        </is>
      </c>
    </row>
    <row r="53">
      <c r="A53" s="13" t="inlineStr">
        <is>
          <t>Marge par abonné, avant coût du vélo</t>
        </is>
      </c>
      <c r="B53" s="46">
        <f>B6-B13</f>
        <v/>
      </c>
      <c r="C53" s="4" t="inlineStr">
        <is>
          <t>€ par mois</t>
        </is>
      </c>
      <c r="D53" s="4" t="inlineStr">
        <is>
          <t>Prix − entretien et assurance</t>
        </is>
      </c>
    </row>
    <row r="54">
      <c r="A54" s="13" t="inlineStr">
        <is>
          <t>Amortissement mensuel d'un vélo</t>
        </is>
      </c>
      <c r="B54" s="46">
        <f>B11/B12</f>
        <v/>
      </c>
      <c r="C54" s="4" t="inlineStr">
        <is>
          <t>€ par mois</t>
        </is>
      </c>
      <c r="D54" s="4" t="inlineStr">
        <is>
          <t>Coût de revient ÷ durée d'usage</t>
        </is>
      </c>
    </row>
    <row r="56">
      <c r="A56" s="12" t="inlineStr">
        <is>
          <t>Hypothèses supplémentaires du groupe</t>
        </is>
      </c>
      <c r="B56" s="12" t="n"/>
      <c r="C56" s="12" t="n"/>
      <c r="D56" s="12" t="n"/>
    </row>
    <row r="57">
      <c r="A57" s="42" t="inlineStr">
        <is>
          <t>Outils marketing (CRM, emailing, analytics)</t>
        </is>
      </c>
      <c r="B57" s="38" t="n">
        <v>250</v>
      </c>
      <c r="C57" s="44" t="inlineStr">
        <is>
          <t>€ par mois</t>
        </is>
      </c>
      <c r="D57" s="37" t="inlineStr">
        <is>
          <t>Hypothèse du groupe, à partir du mois qui précède le lancement</t>
        </is>
      </c>
    </row>
    <row r="58">
      <c r="A58" s="47" t="inlineStr">
        <is>
          <t>Création et contenus</t>
        </is>
      </c>
      <c r="B58" s="38" t="n">
        <v>1500</v>
      </c>
      <c r="C58" s="48" t="inlineStr">
        <is>
          <t>€ par mois</t>
        </is>
      </c>
      <c r="D58" s="49" t="inlineStr">
        <is>
          <t>Hypothèse du groupe : visuels, vidéos courtes, pages et articles, à partir du mois qui précède le lancement</t>
        </is>
      </c>
    </row>
    <row r="59">
      <c r="A59" s="47" t="inlineStr">
        <is>
          <t>Production du lancement (shooting, page d'atterrissage)</t>
        </is>
      </c>
      <c r="B59" s="38" t="n">
        <v>8</v>
      </c>
      <c r="C59" s="48" t="inlineStr">
        <is>
          <t>jours-homme</t>
        </is>
      </c>
      <c r="D59" s="49" t="inlineStr">
        <is>
          <t>Hypothèse du groupe : agence au TJM de 650 €, facturée le mois qui précède le lancement</t>
        </is>
      </c>
    </row>
    <row r="60">
      <c r="A60" s="47" t="inlineStr">
        <is>
          <t>Frais de paiement récurrent</t>
        </is>
      </c>
      <c r="B60" s="50" t="n">
        <v>0.015</v>
      </c>
      <c r="C60" s="48" t="inlineStr">
        <is>
          <t>% du chiffre d'affaires</t>
        </is>
      </c>
      <c r="D60" s="49" t="inlineStr">
        <is>
          <t>Hypothèse du groupe : prestataire de prélèvement et de carte, sur chaque mensualité</t>
        </is>
      </c>
    </row>
    <row r="61">
      <c r="A61" s="47" t="inlineStr">
        <is>
          <t>Mois d'embauche du 2e technicien</t>
        </is>
      </c>
      <c r="B61" s="45">
        <f>B24</f>
        <v/>
      </c>
      <c r="C61" s="48" t="inlineStr">
        <is>
          <t>n° de mois</t>
        </is>
      </c>
      <c r="D61" s="49" t="inlineStr">
        <is>
          <t>Version initiale : les deux techniciens arrivent ensemble au mois 6 (donnée du cas)</t>
        </is>
      </c>
    </row>
    <row r="62">
      <c r="A62" s="7" t="n"/>
      <c r="B62" s="7" t="n"/>
      <c r="C62" s="7" t="n"/>
      <c r="D62" s="7" t="n"/>
    </row>
    <row r="63">
      <c r="A63" s="40" t="inlineStr">
        <is>
          <t>Version après coupe du DAF (bloc 2)</t>
        </is>
      </c>
      <c r="B63" s="51" t="n"/>
      <c r="C63" s="51" t="n"/>
      <c r="D63" s="51" t="n"/>
    </row>
    <row r="64">
      <c r="A64" s="42" t="inlineStr">
        <is>
          <t>Objectif d'abonnés actifs après coupe</t>
        </is>
      </c>
      <c r="B64" s="38" t="n">
        <v>1000</v>
      </c>
      <c r="C64" s="44" t="inlineStr">
        <is>
          <t>abonnés</t>
        </is>
      </c>
      <c r="D64" s="37" t="inlineStr">
        <is>
          <t>Levier périmètre : un objectif plus bas réduit la flotte, le média et l'exploitation</t>
        </is>
      </c>
    </row>
    <row r="65">
      <c r="A65" s="42" t="inlineStr">
        <is>
          <t>Plafond de vélos achetés après coupe</t>
        </is>
      </c>
      <c r="B65" s="38" t="n">
        <v>400</v>
      </c>
      <c r="C65" s="44" t="inlineStr">
        <is>
          <t>vélos</t>
        </is>
      </c>
      <c r="D65" s="37" t="inlineStr">
        <is>
          <t>Levier flotte : on achète moins, on loue davantage (moins de CAPEX, plus d'OPEX après le mois 18)</t>
        </is>
      </c>
    </row>
    <row r="66">
      <c r="A66" s="42" t="inlineStr">
        <is>
          <t>Mois d'embauche du 2e technicien après coupe</t>
        </is>
      </c>
      <c r="B66" s="38" t="n">
        <v>10</v>
      </c>
      <c r="C66" s="44" t="inlineStr">
        <is>
          <t>n° de mois</t>
        </is>
      </c>
      <c r="D66" s="37" t="inlineStr">
        <is>
          <t>Levier RH : le 2e technicien arrive quand la flotte dépasse ce qu'un seul peut entretenir</t>
        </is>
      </c>
    </row>
    <row r="67">
      <c r="A67" s="42" t="inlineStr">
        <is>
          <t>Création et contenus après coupe</t>
        </is>
      </c>
      <c r="B67" s="38" t="n">
        <v>1000</v>
      </c>
      <c r="C67" s="44" t="inlineStr">
        <is>
          <t>€ par mois</t>
        </is>
      </c>
      <c r="D67" s="37" t="inlineStr">
        <is>
          <t>Levier contenus : on garde l'essentiel, on réutilise les visuels du lancement</t>
        </is>
      </c>
    </row>
    <row r="69">
      <c r="A69" s="40" t="inlineStr">
        <is>
          <t>Valeurs appliquées au budget (scénario actif et version)</t>
        </is>
      </c>
      <c r="B69" s="41" t="n"/>
      <c r="C69" s="41" t="n"/>
      <c r="D69" s="41" t="n"/>
    </row>
    <row r="70">
      <c r="A70" s="42" t="inlineStr">
        <is>
          <t>CPC appliqué</t>
        </is>
      </c>
      <c r="B70" s="52">
        <f>INDEX(Scénarios!$C$5:$C$9,$B$39)</f>
        <v/>
      </c>
      <c r="C70" s="44" t="inlineStr">
        <is>
          <t>€</t>
        </is>
      </c>
      <c r="D70" s="37" t="inlineStr">
        <is>
          <t>Lu dans l'onglet Scénarios, ligne du scénario actif</t>
        </is>
      </c>
    </row>
    <row r="71">
      <c r="A71" s="42" t="inlineStr">
        <is>
          <t>Mois de lancement appliqué</t>
        </is>
      </c>
      <c r="B71" s="53">
        <f>INDEX(Scénarios!$D$5:$D$9,$B$39)</f>
        <v/>
      </c>
      <c r="C71" s="44" t="inlineStr">
        <is>
          <t>n° de mois</t>
        </is>
      </c>
      <c r="D71" s="37" t="inlineStr">
        <is>
          <t>Lu dans l'onglet Scénarios, ligne du scénario actif</t>
        </is>
      </c>
    </row>
    <row r="72">
      <c r="A72" s="42" t="inlineStr">
        <is>
          <t>Churn appliqué</t>
        </is>
      </c>
      <c r="B72" s="54">
        <f>INDEX(Scénarios!$E$5:$E$9,$B$39)</f>
        <v/>
      </c>
      <c r="C72" s="44" t="inlineStr">
        <is>
          <t>% par mois</t>
        </is>
      </c>
      <c r="D72" s="37" t="inlineStr">
        <is>
          <t>Lu dans l'onglet Scénarios, ligne du scénario actif</t>
        </is>
      </c>
    </row>
    <row r="73">
      <c r="A73" s="42" t="inlineStr">
        <is>
          <t>Objectif appliqué</t>
        </is>
      </c>
      <c r="B73" s="53">
        <f>IF($B$40=2,$B$64,$B$7)</f>
        <v/>
      </c>
      <c r="C73" s="44" t="inlineStr">
        <is>
          <t>abonnés</t>
        </is>
      </c>
      <c r="D73" s="37" t="inlineStr">
        <is>
          <t>Version 2 : objectif après coupe, sinon objectif du cas</t>
        </is>
      </c>
    </row>
    <row r="74">
      <c r="A74" s="42" t="inlineStr">
        <is>
          <t>Plafond de vélos achetés appliqué</t>
        </is>
      </c>
      <c r="B74" s="53">
        <f>IF($B$40=2,$B$65,$B$33)</f>
        <v/>
      </c>
      <c r="C74" s="44" t="inlineStr">
        <is>
          <t>vélos</t>
        </is>
      </c>
      <c r="D74" s="37" t="inlineStr">
        <is>
          <t>Version 2 : plafond après coupe, sinon choix du groupe</t>
        </is>
      </c>
    </row>
    <row r="75">
      <c r="A75" s="42" t="inlineStr">
        <is>
          <t>Mois d'embauche du 2e technicien appliqué</t>
        </is>
      </c>
      <c r="B75" s="53">
        <f>IF($B$40=2,$B$66,$B$61)</f>
        <v/>
      </c>
      <c r="C75" s="44" t="inlineStr">
        <is>
          <t>n° de mois</t>
        </is>
      </c>
      <c r="D75" s="37" t="inlineStr">
        <is>
          <t>Version 2 : mois après coupe</t>
        </is>
      </c>
    </row>
    <row r="76">
      <c r="A76" s="42" t="inlineStr">
        <is>
          <t>Création et contenus appliquée</t>
        </is>
      </c>
      <c r="B76" s="53">
        <f>IF($B$40=2,$B$67,$B$58)</f>
        <v/>
      </c>
      <c r="C76" s="44" t="inlineStr">
        <is>
          <t>€ par mois</t>
        </is>
      </c>
      <c r="D76" s="37" t="inlineStr">
        <is>
          <t>Version 2 : montant après coupe</t>
        </is>
      </c>
    </row>
    <row r="78">
      <c r="A78" s="55" t="inlineStr">
        <is>
          <t>Le budget lit les valeurs appliquées : changer le scénario actif ou la version recalcule tout le classeur.</t>
        </is>
      </c>
    </row>
  </sheetData>
  <dataValidations count="3">
    <dataValidation sqref="B31" showDropDown="0" showInputMessage="0" showErrorMessage="0" allowBlank="1" type="list">
      <formula1>"A,B"</formula1>
      <formula2>0</formula2>
    </dataValidation>
    <dataValidation sqref="B39" showDropDown="0" showInputMessage="0" showErrorMessage="0" allowBlank="0" type="list">
      <formula1>"1,2,3,4,5"</formula1>
    </dataValidation>
    <dataValidation sqref="B40" showDropDown="0" showInputMessage="0" showErrorMessage="0" allowBlank="0" type="list">
      <formula1>"1,2"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W53"/>
  <sheetViews>
    <sheetView zoomScaleNormal="100" workbookViewId="0">
      <pane xSplit="4" ySplit="4" topLeftCell="E21" activePane="bottomRight" state="frozen"/>
      <selection pane="topRight" activeCell="E1" sqref="E1"/>
      <selection pane="bottomLeft" activeCell="A5" sqref="A5"/>
      <selection pane="bottomRight" activeCell="A1" sqref="A1"/>
    </sheetView>
  </sheetViews>
  <sheetFormatPr baseColWidth="10" defaultColWidth="8.6640625" defaultRowHeight="15"/>
  <cols>
    <col width="44" customWidth="1" min="1" max="1"/>
    <col width="11" customWidth="1" min="2" max="3"/>
    <col width="46" customWidth="1" min="4" max="4"/>
    <col width="11" customWidth="1" min="5" max="22"/>
    <col width="14" customWidth="1" min="23" max="23"/>
  </cols>
  <sheetData>
    <row r="1" ht="18" customHeight="1">
      <c r="A1" s="3" t="inlineStr">
        <is>
          <t>Budget mensualisé sur 18 mois (€ HT)</t>
        </is>
      </c>
    </row>
    <row r="2">
      <c r="A2" s="4" t="inlineStr">
        <is>
          <t>Une ligne par poste, une colonne par mois · chaque ligne renvoie à l'onglet Hypothèses</t>
        </is>
      </c>
    </row>
    <row r="3">
      <c r="A3" s="4" t="inlineStr">
        <is>
          <t>Mois n°</t>
        </is>
      </c>
      <c r="E3" s="22" t="n">
        <v>1</v>
      </c>
      <c r="F3" s="22" t="n">
        <v>2</v>
      </c>
      <c r="G3" s="22" t="n">
        <v>3</v>
      </c>
      <c r="H3" s="22" t="n">
        <v>4</v>
      </c>
      <c r="I3" s="22" t="n">
        <v>5</v>
      </c>
      <c r="J3" s="22" t="n">
        <v>6</v>
      </c>
      <c r="K3" s="22" t="n">
        <v>7</v>
      </c>
      <c r="L3" s="22" t="n">
        <v>8</v>
      </c>
      <c r="M3" s="22" t="n">
        <v>9</v>
      </c>
      <c r="N3" s="22" t="n">
        <v>10</v>
      </c>
      <c r="O3" s="22" t="n">
        <v>11</v>
      </c>
      <c r="P3" s="22" t="n">
        <v>12</v>
      </c>
      <c r="Q3" s="22" t="n">
        <v>13</v>
      </c>
      <c r="R3" s="22" t="n">
        <v>14</v>
      </c>
      <c r="S3" s="22" t="n">
        <v>15</v>
      </c>
      <c r="T3" s="22" t="n">
        <v>16</v>
      </c>
      <c r="U3" s="22" t="n">
        <v>17</v>
      </c>
      <c r="V3" s="22" t="n">
        <v>18</v>
      </c>
    </row>
    <row r="4" ht="30" customHeight="1">
      <c r="A4" s="23" t="inlineStr">
        <is>
          <t>Rubrique</t>
        </is>
      </c>
      <c r="B4" s="23" t="inlineStr">
        <is>
          <t>Fixe ou variable</t>
        </is>
      </c>
      <c r="C4" s="23" t="inlineStr">
        <is>
          <t>CAPEX ou OPEX</t>
        </is>
      </c>
      <c r="D4" s="23" t="inlineStr">
        <is>
          <t>Hypothèse ou formule utilisée</t>
        </is>
      </c>
      <c r="E4" s="24" t="inlineStr">
        <is>
          <t>M1</t>
        </is>
      </c>
      <c r="F4" s="24" t="inlineStr">
        <is>
          <t>M2</t>
        </is>
      </c>
      <c r="G4" s="24" t="inlineStr">
        <is>
          <t>M3</t>
        </is>
      </c>
      <c r="H4" s="24" t="inlineStr">
        <is>
          <t>M4</t>
        </is>
      </c>
      <c r="I4" s="24" t="inlineStr">
        <is>
          <t>M5</t>
        </is>
      </c>
      <c r="J4" s="24" t="inlineStr">
        <is>
          <t>M6</t>
        </is>
      </c>
      <c r="K4" s="24" t="inlineStr">
        <is>
          <t>M7</t>
        </is>
      </c>
      <c r="L4" s="24" t="inlineStr">
        <is>
          <t>M8</t>
        </is>
      </c>
      <c r="M4" s="24" t="inlineStr">
        <is>
          <t>M9</t>
        </is>
      </c>
      <c r="N4" s="24" t="inlineStr">
        <is>
          <t>M10</t>
        </is>
      </c>
      <c r="O4" s="24" t="inlineStr">
        <is>
          <t>M11</t>
        </is>
      </c>
      <c r="P4" s="24" t="inlineStr">
        <is>
          <t>M12</t>
        </is>
      </c>
      <c r="Q4" s="24" t="inlineStr">
        <is>
          <t>M13</t>
        </is>
      </c>
      <c r="R4" s="24" t="inlineStr">
        <is>
          <t>M14</t>
        </is>
      </c>
      <c r="S4" s="24" t="inlineStr">
        <is>
          <t>M15</t>
        </is>
      </c>
      <c r="T4" s="24" t="inlineStr">
        <is>
          <t>M16</t>
        </is>
      </c>
      <c r="U4" s="24" t="inlineStr">
        <is>
          <t>M17</t>
        </is>
      </c>
      <c r="V4" s="24" t="inlineStr">
        <is>
          <t>M18</t>
        </is>
      </c>
      <c r="W4" s="24" t="inlineStr">
        <is>
          <t>Total</t>
        </is>
      </c>
    </row>
    <row r="5">
      <c r="A5" s="12" t="inlineStr">
        <is>
          <t>ACTIVITÉ</t>
        </is>
      </c>
      <c r="B5" s="12" t="n"/>
      <c r="C5" s="12" t="n"/>
      <c r="D5" s="12" t="n"/>
      <c r="E5" s="12" t="n"/>
      <c r="F5" s="12" t="n"/>
      <c r="G5" s="12" t="n"/>
      <c r="H5" s="12" t="n"/>
      <c r="I5" s="12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</row>
    <row r="6" ht="27" customHeight="1">
      <c r="A6" s="13" t="inlineStr">
        <is>
          <t>Nouveaux abonnés</t>
        </is>
      </c>
      <c r="B6" s="7" t="n"/>
      <c r="C6" s="7" t="n"/>
      <c r="D6" s="56" t="inlineStr">
        <is>
          <t>Nouveaux abonnés par mois (Hypothèses B46) dès le mois de lancement</t>
        </is>
      </c>
      <c r="E6" s="57">
        <f>IF(E$3&gt;=Hypothèses!$B$71,Hypothèses!$B$46,0)</f>
        <v/>
      </c>
      <c r="F6" s="57">
        <f>IF(F$3&gt;=Hypothèses!$B$71,Hypothèses!$B$46,0)</f>
        <v/>
      </c>
      <c r="G6" s="57">
        <f>IF(G$3&gt;=Hypothèses!$B$71,Hypothèses!$B$46,0)</f>
        <v/>
      </c>
      <c r="H6" s="57">
        <f>IF(H$3&gt;=Hypothèses!$B$71,Hypothèses!$B$46,0)</f>
        <v/>
      </c>
      <c r="I6" s="57">
        <f>IF(I$3&gt;=Hypothèses!$B$71,Hypothèses!$B$46,0)</f>
        <v/>
      </c>
      <c r="J6" s="57">
        <f>IF(J$3&gt;=Hypothèses!$B$71,Hypothèses!$B$46,0)</f>
        <v/>
      </c>
      <c r="K6" s="57">
        <f>IF(K$3&gt;=Hypothèses!$B$71,Hypothèses!$B$46,0)</f>
        <v/>
      </c>
      <c r="L6" s="57">
        <f>IF(L$3&gt;=Hypothèses!$B$71,Hypothèses!$B$46,0)</f>
        <v/>
      </c>
      <c r="M6" s="57">
        <f>IF(M$3&gt;=Hypothèses!$B$71,Hypothèses!$B$46,0)</f>
        <v/>
      </c>
      <c r="N6" s="57">
        <f>IF(N$3&gt;=Hypothèses!$B$71,Hypothèses!$B$46,0)</f>
        <v/>
      </c>
      <c r="O6" s="57">
        <f>IF(O$3&gt;=Hypothèses!$B$71,Hypothèses!$B$46,0)</f>
        <v/>
      </c>
      <c r="P6" s="57">
        <f>IF(P$3&gt;=Hypothèses!$B$71,Hypothèses!$B$46,0)</f>
        <v/>
      </c>
      <c r="Q6" s="57">
        <f>IF(Q$3&gt;=Hypothèses!$B$71,Hypothèses!$B$46,0)</f>
        <v/>
      </c>
      <c r="R6" s="57">
        <f>IF(R$3&gt;=Hypothèses!$B$71,Hypothèses!$B$46,0)</f>
        <v/>
      </c>
      <c r="S6" s="57">
        <f>IF(S$3&gt;=Hypothèses!$B$71,Hypothèses!$B$46,0)</f>
        <v/>
      </c>
      <c r="T6" s="57">
        <f>IF(T$3&gt;=Hypothèses!$B$71,Hypothèses!$B$46,0)</f>
        <v/>
      </c>
      <c r="U6" s="57">
        <f>IF(U$3&gt;=Hypothèses!$B$71,Hypothèses!$B$46,0)</f>
        <v/>
      </c>
      <c r="V6" s="57">
        <f>IF(V$3&gt;=Hypothèses!$B$71,Hypothèses!$B$46,0)</f>
        <v/>
      </c>
      <c r="W6" s="26">
        <f>SUM(E6:V6)</f>
        <v/>
      </c>
    </row>
    <row r="7" ht="27" customHeight="1">
      <c r="A7" s="13" t="inlineStr">
        <is>
          <t>Résiliations</t>
        </is>
      </c>
      <c r="B7" s="7" t="n"/>
      <c r="C7" s="7" t="n"/>
      <c r="D7" s="56" t="inlineStr">
        <is>
          <t>Abonnés actifs du mois précédent × churn</t>
        </is>
      </c>
      <c r="E7" s="57">
        <f>N(D8)*Hypothèses!$B$72</f>
        <v/>
      </c>
      <c r="F7" s="57">
        <f>N(E8)*Hypothèses!$B$72</f>
        <v/>
      </c>
      <c r="G7" s="57">
        <f>N(F8)*Hypothèses!$B$72</f>
        <v/>
      </c>
      <c r="H7" s="57">
        <f>N(G8)*Hypothèses!$B$72</f>
        <v/>
      </c>
      <c r="I7" s="57">
        <f>N(H8)*Hypothèses!$B$72</f>
        <v/>
      </c>
      <c r="J7" s="57">
        <f>N(I8)*Hypothèses!$B$72</f>
        <v/>
      </c>
      <c r="K7" s="57">
        <f>N(J8)*Hypothèses!$B$72</f>
        <v/>
      </c>
      <c r="L7" s="57">
        <f>N(K8)*Hypothèses!$B$72</f>
        <v/>
      </c>
      <c r="M7" s="57">
        <f>N(L8)*Hypothèses!$B$72</f>
        <v/>
      </c>
      <c r="N7" s="57">
        <f>N(M8)*Hypothèses!$B$72</f>
        <v/>
      </c>
      <c r="O7" s="57">
        <f>N(N8)*Hypothèses!$B$72</f>
        <v/>
      </c>
      <c r="P7" s="57">
        <f>N(O8)*Hypothèses!$B$72</f>
        <v/>
      </c>
      <c r="Q7" s="57">
        <f>N(P8)*Hypothèses!$B$72</f>
        <v/>
      </c>
      <c r="R7" s="57">
        <f>N(Q8)*Hypothèses!$B$72</f>
        <v/>
      </c>
      <c r="S7" s="57">
        <f>N(R8)*Hypothèses!$B$72</f>
        <v/>
      </c>
      <c r="T7" s="57">
        <f>N(S8)*Hypothèses!$B$72</f>
        <v/>
      </c>
      <c r="U7" s="57">
        <f>N(T8)*Hypothèses!$B$72</f>
        <v/>
      </c>
      <c r="V7" s="57">
        <f>N(U8)*Hypothèses!$B$72</f>
        <v/>
      </c>
      <c r="W7" s="26">
        <f>SUM(E7:V7)</f>
        <v/>
      </c>
    </row>
    <row r="8" ht="27" customHeight="1">
      <c r="A8" s="13" t="inlineStr">
        <is>
          <t>Abonnés actifs en fin de mois</t>
        </is>
      </c>
      <c r="B8" s="7" t="n"/>
      <c r="C8" s="7" t="n"/>
      <c r="D8" s="56" t="inlineStr">
        <is>
          <t>Actifs du mois précédent − résiliations + nouveaux</t>
        </is>
      </c>
      <c r="E8" s="53">
        <f>N(D8)-E7+E6</f>
        <v/>
      </c>
      <c r="F8" s="53">
        <f>N(E8)-F7+F6</f>
        <v/>
      </c>
      <c r="G8" s="53">
        <f>N(F8)-G7+G6</f>
        <v/>
      </c>
      <c r="H8" s="53">
        <f>N(G8)-H7+H6</f>
        <v/>
      </c>
      <c r="I8" s="53">
        <f>N(H8)-I7+I6</f>
        <v/>
      </c>
      <c r="J8" s="53">
        <f>N(I8)-J7+J6</f>
        <v/>
      </c>
      <c r="K8" s="53">
        <f>N(J8)-K7+K6</f>
        <v/>
      </c>
      <c r="L8" s="53">
        <f>N(K8)-L7+L6</f>
        <v/>
      </c>
      <c r="M8" s="53">
        <f>N(L8)-M7+M6</f>
        <v/>
      </c>
      <c r="N8" s="53">
        <f>N(M8)-N7+N6</f>
        <v/>
      </c>
      <c r="O8" s="53">
        <f>N(N8)-O7+O6</f>
        <v/>
      </c>
      <c r="P8" s="53">
        <f>N(O8)-P7+P6</f>
        <v/>
      </c>
      <c r="Q8" s="53">
        <f>N(P8)-Q7+Q6</f>
        <v/>
      </c>
      <c r="R8" s="53">
        <f>N(Q8)-R7+R6</f>
        <v/>
      </c>
      <c r="S8" s="53">
        <f>N(R8)-S7+S6</f>
        <v/>
      </c>
      <c r="T8" s="53">
        <f>N(S8)-T7+T6</f>
        <v/>
      </c>
      <c r="U8" s="53">
        <f>N(T8)-U7+U6</f>
        <v/>
      </c>
      <c r="V8" s="53">
        <f>N(U8)-V7+V6</f>
        <v/>
      </c>
      <c r="W8" s="27">
        <f>V8</f>
        <v/>
      </c>
    </row>
    <row r="9" ht="27" customHeight="1">
      <c r="A9" s="13" t="inlineStr">
        <is>
          <t>Vélos en flotte (achetés et loués)</t>
        </is>
      </c>
      <c r="B9" s="7" t="n"/>
      <c r="C9" s="7" t="n"/>
      <c r="D9" s="56" t="inlineStr">
        <is>
          <t>Abonnés actifs + réserve dès le lancement ; la flotte ne diminue jamais</t>
        </is>
      </c>
      <c r="E9" s="53">
        <f>IF(E$3&gt;=Hypothèses!$B$71,MAX(N(D9),E8+Hypothèses!$B$32),0)</f>
        <v/>
      </c>
      <c r="F9" s="53">
        <f>IF(F$3&gt;=Hypothèses!$B$71,MAX(N(E9),F8+Hypothèses!$B$32),0)</f>
        <v/>
      </c>
      <c r="G9" s="53">
        <f>IF(G$3&gt;=Hypothèses!$B$71,MAX(N(F9),G8+Hypothèses!$B$32),0)</f>
        <v/>
      </c>
      <c r="H9" s="53">
        <f>IF(H$3&gt;=Hypothèses!$B$71,MAX(N(G9),H8+Hypothèses!$B$32),0)</f>
        <v/>
      </c>
      <c r="I9" s="53">
        <f>IF(I$3&gt;=Hypothèses!$B$71,MAX(N(H9),I8+Hypothèses!$B$32),0)</f>
        <v/>
      </c>
      <c r="J9" s="53">
        <f>IF(J$3&gt;=Hypothèses!$B$71,MAX(N(I9),J8+Hypothèses!$B$32),0)</f>
        <v/>
      </c>
      <c r="K9" s="53">
        <f>IF(K$3&gt;=Hypothèses!$B$71,MAX(N(J9),K8+Hypothèses!$B$32),0)</f>
        <v/>
      </c>
      <c r="L9" s="53">
        <f>IF(L$3&gt;=Hypothèses!$B$71,MAX(N(K9),L8+Hypothèses!$B$32),0)</f>
        <v/>
      </c>
      <c r="M9" s="53">
        <f>IF(M$3&gt;=Hypothèses!$B$71,MAX(N(L9),M8+Hypothèses!$B$32),0)</f>
        <v/>
      </c>
      <c r="N9" s="53">
        <f>IF(N$3&gt;=Hypothèses!$B$71,MAX(N(M9),N8+Hypothèses!$B$32),0)</f>
        <v/>
      </c>
      <c r="O9" s="53">
        <f>IF(O$3&gt;=Hypothèses!$B$71,MAX(N(N9),O8+Hypothèses!$B$32),0)</f>
        <v/>
      </c>
      <c r="P9" s="53">
        <f>IF(P$3&gt;=Hypothèses!$B$71,MAX(N(O9),P8+Hypothèses!$B$32),0)</f>
        <v/>
      </c>
      <c r="Q9" s="53">
        <f>IF(Q$3&gt;=Hypothèses!$B$71,MAX(N(P9),Q8+Hypothèses!$B$32),0)</f>
        <v/>
      </c>
      <c r="R9" s="53">
        <f>IF(R$3&gt;=Hypothèses!$B$71,MAX(N(Q9),R8+Hypothèses!$B$32),0)</f>
        <v/>
      </c>
      <c r="S9" s="53">
        <f>IF(S$3&gt;=Hypothèses!$B$71,MAX(N(R9),S8+Hypothèses!$B$32),0)</f>
        <v/>
      </c>
      <c r="T9" s="53">
        <f>IF(T$3&gt;=Hypothèses!$B$71,MAX(N(S9),T8+Hypothèses!$B$32),0)</f>
        <v/>
      </c>
      <c r="U9" s="53">
        <f>IF(U$3&gt;=Hypothèses!$B$71,MAX(N(T9),U8+Hypothèses!$B$32),0)</f>
        <v/>
      </c>
      <c r="V9" s="53">
        <f>IF(V$3&gt;=Hypothèses!$B$71,MAX(N(U9),V8+Hypothèses!$B$32),0)</f>
        <v/>
      </c>
      <c r="W9" s="27">
        <f>V9</f>
        <v/>
      </c>
    </row>
    <row r="10" ht="27" customHeight="1">
      <c r="A10" s="13" t="inlineStr">
        <is>
          <t>dont vélos loués</t>
        </is>
      </c>
      <c r="B10" s="7" t="n"/>
      <c r="C10" s="7" t="n"/>
      <c r="D10" s="56" t="inlineStr">
        <is>
          <t>Flotte − plafond de vélos achetés</t>
        </is>
      </c>
      <c r="E10" s="53">
        <f>MAX(0,E9-Hypothèses!$B$74)</f>
        <v/>
      </c>
      <c r="F10" s="53">
        <f>MAX(0,F9-Hypothèses!$B$74)</f>
        <v/>
      </c>
      <c r="G10" s="53">
        <f>MAX(0,G9-Hypothèses!$B$74)</f>
        <v/>
      </c>
      <c r="H10" s="53">
        <f>MAX(0,H9-Hypothèses!$B$74)</f>
        <v/>
      </c>
      <c r="I10" s="53">
        <f>MAX(0,I9-Hypothèses!$B$74)</f>
        <v/>
      </c>
      <c r="J10" s="53">
        <f>MAX(0,J9-Hypothèses!$B$74)</f>
        <v/>
      </c>
      <c r="K10" s="53">
        <f>MAX(0,K9-Hypothèses!$B$74)</f>
        <v/>
      </c>
      <c r="L10" s="53">
        <f>MAX(0,L9-Hypothèses!$B$74)</f>
        <v/>
      </c>
      <c r="M10" s="53">
        <f>MAX(0,M9-Hypothèses!$B$74)</f>
        <v/>
      </c>
      <c r="N10" s="53">
        <f>MAX(0,N9-Hypothèses!$B$74)</f>
        <v/>
      </c>
      <c r="O10" s="53">
        <f>MAX(0,O9-Hypothèses!$B$74)</f>
        <v/>
      </c>
      <c r="P10" s="53">
        <f>MAX(0,P9-Hypothèses!$B$74)</f>
        <v/>
      </c>
      <c r="Q10" s="53">
        <f>MAX(0,Q9-Hypothèses!$B$74)</f>
        <v/>
      </c>
      <c r="R10" s="53">
        <f>MAX(0,R9-Hypothèses!$B$74)</f>
        <v/>
      </c>
      <c r="S10" s="53">
        <f>MAX(0,S9-Hypothèses!$B$74)</f>
        <v/>
      </c>
      <c r="T10" s="53">
        <f>MAX(0,T9-Hypothèses!$B$74)</f>
        <v/>
      </c>
      <c r="U10" s="53">
        <f>MAX(0,U9-Hypothèses!$B$74)</f>
        <v/>
      </c>
      <c r="V10" s="53">
        <f>MAX(0,V9-Hypothèses!$B$74)</f>
        <v/>
      </c>
      <c r="W10" s="27">
        <f>V10</f>
        <v/>
      </c>
    </row>
    <row r="11">
      <c r="A11" s="12" t="inlineStr">
        <is>
          <t>REVENUS</t>
        </is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</row>
    <row r="12" ht="27" customHeight="1">
      <c r="A12" s="13" t="inlineStr">
        <is>
          <t>Abonnements</t>
        </is>
      </c>
      <c r="B12" s="58" t="inlineStr">
        <is>
          <t>Variable</t>
        </is>
      </c>
      <c r="C12" s="7" t="n"/>
      <c r="D12" s="56" t="inlineStr">
        <is>
          <t>Abonnés actifs en fin de mois × 49 € HT</t>
        </is>
      </c>
      <c r="E12" s="53">
        <f>E8*Hypothèses!$B$6</f>
        <v/>
      </c>
      <c r="F12" s="53">
        <f>F8*Hypothèses!$B$6</f>
        <v/>
      </c>
      <c r="G12" s="53">
        <f>G8*Hypothèses!$B$6</f>
        <v/>
      </c>
      <c r="H12" s="53">
        <f>H8*Hypothèses!$B$6</f>
        <v/>
      </c>
      <c r="I12" s="53">
        <f>I8*Hypothèses!$B$6</f>
        <v/>
      </c>
      <c r="J12" s="53">
        <f>J8*Hypothèses!$B$6</f>
        <v/>
      </c>
      <c r="K12" s="53">
        <f>K8*Hypothèses!$B$6</f>
        <v/>
      </c>
      <c r="L12" s="53">
        <f>L8*Hypothèses!$B$6</f>
        <v/>
      </c>
      <c r="M12" s="53">
        <f>M8*Hypothèses!$B$6</f>
        <v/>
      </c>
      <c r="N12" s="53">
        <f>N8*Hypothèses!$B$6</f>
        <v/>
      </c>
      <c r="O12" s="53">
        <f>O8*Hypothèses!$B$6</f>
        <v/>
      </c>
      <c r="P12" s="53">
        <f>P8*Hypothèses!$B$6</f>
        <v/>
      </c>
      <c r="Q12" s="53">
        <f>Q8*Hypothèses!$B$6</f>
        <v/>
      </c>
      <c r="R12" s="53">
        <f>R8*Hypothèses!$B$6</f>
        <v/>
      </c>
      <c r="S12" s="53">
        <f>S8*Hypothèses!$B$6</f>
        <v/>
      </c>
      <c r="T12" s="53">
        <f>T8*Hypothèses!$B$6</f>
        <v/>
      </c>
      <c r="U12" s="53">
        <f>U8*Hypothèses!$B$6</f>
        <v/>
      </c>
      <c r="V12" s="53">
        <f>V8*Hypothèses!$B$6</f>
        <v/>
      </c>
      <c r="W12" s="27">
        <f>SUM(E12:V12)</f>
        <v/>
      </c>
    </row>
    <row r="13" ht="27" customHeight="1">
      <c r="A13" s="13" t="inlineStr">
        <is>
          <t>Autres revenus</t>
        </is>
      </c>
      <c r="B13" s="58" t="n"/>
      <c r="C13" s="7" t="n"/>
      <c r="D13" s="56" t="inlineStr">
        <is>
          <t>Aucun revenu annexe retenu, par prudence (frais de dossier, franchise vol : pistes non chiffrées)</t>
        </is>
      </c>
      <c r="E13" s="17" t="n"/>
      <c r="F13" s="17" t="n"/>
      <c r="G13" s="17" t="n"/>
      <c r="H13" s="17" t="n"/>
      <c r="I13" s="17" t="n"/>
      <c r="J13" s="17" t="n"/>
      <c r="K13" s="17" t="n"/>
      <c r="L13" s="17" t="n"/>
      <c r="M13" s="17" t="n"/>
      <c r="N13" s="17" t="n"/>
      <c r="O13" s="17" t="n"/>
      <c r="P13" s="17" t="n"/>
      <c r="Q13" s="17" t="n"/>
      <c r="R13" s="17" t="n"/>
      <c r="S13" s="17" t="n"/>
      <c r="T13" s="17" t="n"/>
      <c r="U13" s="17" t="n"/>
      <c r="V13" s="17" t="n"/>
      <c r="W13" s="27">
        <f>SUM(E13:V13)</f>
        <v/>
      </c>
    </row>
    <row r="14">
      <c r="A14" s="6" t="inlineStr">
        <is>
          <t>Total des revenus</t>
        </is>
      </c>
      <c r="E14" s="27">
        <f>SUM(E12:E13)</f>
        <v/>
      </c>
      <c r="F14" s="27">
        <f>SUM(F12:F13)</f>
        <v/>
      </c>
      <c r="G14" s="27">
        <f>SUM(G12:G13)</f>
        <v/>
      </c>
      <c r="H14" s="27">
        <f>SUM(H12:H13)</f>
        <v/>
      </c>
      <c r="I14" s="27">
        <f>SUM(I12:I13)</f>
        <v/>
      </c>
      <c r="J14" s="27">
        <f>SUM(J12:J13)</f>
        <v/>
      </c>
      <c r="K14" s="27">
        <f>SUM(K12:K13)</f>
        <v/>
      </c>
      <c r="L14" s="27">
        <f>SUM(L12:L13)</f>
        <v/>
      </c>
      <c r="M14" s="27">
        <f>SUM(M12:M13)</f>
        <v/>
      </c>
      <c r="N14" s="27">
        <f>SUM(N12:N13)</f>
        <v/>
      </c>
      <c r="O14" s="27">
        <f>SUM(O12:O13)</f>
        <v/>
      </c>
      <c r="P14" s="27">
        <f>SUM(P12:P13)</f>
        <v/>
      </c>
      <c r="Q14" s="27">
        <f>SUM(Q12:Q13)</f>
        <v/>
      </c>
      <c r="R14" s="27">
        <f>SUM(R12:R13)</f>
        <v/>
      </c>
      <c r="S14" s="27">
        <f>SUM(S12:S13)</f>
        <v/>
      </c>
      <c r="T14" s="27">
        <f>SUM(T12:T13)</f>
        <v/>
      </c>
      <c r="U14" s="27">
        <f>SUM(U12:U13)</f>
        <v/>
      </c>
      <c r="V14" s="27">
        <f>SUM(V12:V13)</f>
        <v/>
      </c>
      <c r="W14" s="27">
        <f>SUM(E14:V14)</f>
        <v/>
      </c>
    </row>
    <row r="15">
      <c r="A15" s="12" t="inlineStr">
        <is>
          <t>FLOTTE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</row>
    <row r="16" ht="27" customHeight="1">
      <c r="A16" s="13" t="inlineStr">
        <is>
          <t>Achat de vélos</t>
        </is>
      </c>
      <c r="B16" s="58" t="inlineStr">
        <is>
          <t>Variable</t>
        </is>
      </c>
      <c r="C16" s="58" t="inlineStr">
        <is>
          <t>CAPEX</t>
        </is>
      </c>
      <c r="D16" s="56" t="inlineStr">
        <is>
          <t>Vélos achetés dans le mois (jusqu'au plafond) × 600 €</t>
        </is>
      </c>
      <c r="E16" s="53">
        <f>(MIN(E9,Hypothèses!$B$74)-MIN(N(D9),Hypothèses!$B$74))*Hypothèses!$B$11</f>
        <v/>
      </c>
      <c r="F16" s="53">
        <f>(MIN(F9,Hypothèses!$B$74)-MIN(N(E9),Hypothèses!$B$74))*Hypothèses!$B$11</f>
        <v/>
      </c>
      <c r="G16" s="53">
        <f>(MIN(G9,Hypothèses!$B$74)-MIN(N(F9),Hypothèses!$B$74))*Hypothèses!$B$11</f>
        <v/>
      </c>
      <c r="H16" s="53">
        <f>(MIN(H9,Hypothèses!$B$74)-MIN(N(G9),Hypothèses!$B$74))*Hypothèses!$B$11</f>
        <v/>
      </c>
      <c r="I16" s="53">
        <f>(MIN(I9,Hypothèses!$B$74)-MIN(N(H9),Hypothèses!$B$74))*Hypothèses!$B$11</f>
        <v/>
      </c>
      <c r="J16" s="53">
        <f>(MIN(J9,Hypothèses!$B$74)-MIN(N(I9),Hypothèses!$B$74))*Hypothèses!$B$11</f>
        <v/>
      </c>
      <c r="K16" s="53">
        <f>(MIN(K9,Hypothèses!$B$74)-MIN(N(J9),Hypothèses!$B$74))*Hypothèses!$B$11</f>
        <v/>
      </c>
      <c r="L16" s="53">
        <f>(MIN(L9,Hypothèses!$B$74)-MIN(N(K9),Hypothèses!$B$74))*Hypothèses!$B$11</f>
        <v/>
      </c>
      <c r="M16" s="53">
        <f>(MIN(M9,Hypothèses!$B$74)-MIN(N(L9),Hypothèses!$B$74))*Hypothèses!$B$11</f>
        <v/>
      </c>
      <c r="N16" s="53">
        <f>(MIN(N9,Hypothèses!$B$74)-MIN(N(M9),Hypothèses!$B$74))*Hypothèses!$B$11</f>
        <v/>
      </c>
      <c r="O16" s="53">
        <f>(MIN(O9,Hypothèses!$B$74)-MIN(N(N9),Hypothèses!$B$74))*Hypothèses!$B$11</f>
        <v/>
      </c>
      <c r="P16" s="53">
        <f>(MIN(P9,Hypothèses!$B$74)-MIN(N(O9),Hypothèses!$B$74))*Hypothèses!$B$11</f>
        <v/>
      </c>
      <c r="Q16" s="53">
        <f>(MIN(Q9,Hypothèses!$B$74)-MIN(N(P9),Hypothèses!$B$74))*Hypothèses!$B$11</f>
        <v/>
      </c>
      <c r="R16" s="53">
        <f>(MIN(R9,Hypothèses!$B$74)-MIN(N(Q9),Hypothèses!$B$74))*Hypothèses!$B$11</f>
        <v/>
      </c>
      <c r="S16" s="53">
        <f>(MIN(S9,Hypothèses!$B$74)-MIN(N(R9),Hypothèses!$B$74))*Hypothèses!$B$11</f>
        <v/>
      </c>
      <c r="T16" s="53">
        <f>(MIN(T9,Hypothèses!$B$74)-MIN(N(S9),Hypothèses!$B$74))*Hypothèses!$B$11</f>
        <v/>
      </c>
      <c r="U16" s="53">
        <f>(MIN(U9,Hypothèses!$B$74)-MIN(N(T9),Hypothèses!$B$74))*Hypothèses!$B$11</f>
        <v/>
      </c>
      <c r="V16" s="53">
        <f>(MIN(V9,Hypothèses!$B$74)-MIN(N(U9),Hypothèses!$B$74))*Hypothèses!$B$11</f>
        <v/>
      </c>
      <c r="W16" s="27">
        <f>SUM(E16:V16)</f>
        <v/>
      </c>
    </row>
    <row r="17" ht="27" customHeight="1">
      <c r="A17" s="13" t="inlineStr">
        <is>
          <t>Location de vélos</t>
        </is>
      </c>
      <c r="B17" s="58" t="inlineStr">
        <is>
          <t>Variable</t>
        </is>
      </c>
      <c r="C17" s="58" t="inlineStr">
        <is>
          <t>OPEX</t>
        </is>
      </c>
      <c r="D17" s="56" t="inlineStr">
        <is>
          <t>Vélos loués × loyer mensuel (25 €)</t>
        </is>
      </c>
      <c r="E17" s="53">
        <f>E10*Hypothèses!$B$34</f>
        <v/>
      </c>
      <c r="F17" s="53">
        <f>F10*Hypothèses!$B$34</f>
        <v/>
      </c>
      <c r="G17" s="53">
        <f>G10*Hypothèses!$B$34</f>
        <v/>
      </c>
      <c r="H17" s="53">
        <f>H10*Hypothèses!$B$34</f>
        <v/>
      </c>
      <c r="I17" s="53">
        <f>I10*Hypothèses!$B$34</f>
        <v/>
      </c>
      <c r="J17" s="53">
        <f>J10*Hypothèses!$B$34</f>
        <v/>
      </c>
      <c r="K17" s="53">
        <f>K10*Hypothèses!$B$34</f>
        <v/>
      </c>
      <c r="L17" s="53">
        <f>L10*Hypothèses!$B$34</f>
        <v/>
      </c>
      <c r="M17" s="53">
        <f>M10*Hypothèses!$B$34</f>
        <v/>
      </c>
      <c r="N17" s="53">
        <f>N10*Hypothèses!$B$34</f>
        <v/>
      </c>
      <c r="O17" s="53">
        <f>O10*Hypothèses!$B$34</f>
        <v/>
      </c>
      <c r="P17" s="53">
        <f>P10*Hypothèses!$B$34</f>
        <v/>
      </c>
      <c r="Q17" s="53">
        <f>Q10*Hypothèses!$B$34</f>
        <v/>
      </c>
      <c r="R17" s="53">
        <f>R10*Hypothèses!$B$34</f>
        <v/>
      </c>
      <c r="S17" s="53">
        <f>S10*Hypothèses!$B$34</f>
        <v/>
      </c>
      <c r="T17" s="53">
        <f>T10*Hypothèses!$B$34</f>
        <v/>
      </c>
      <c r="U17" s="53">
        <f>U10*Hypothèses!$B$34</f>
        <v/>
      </c>
      <c r="V17" s="53">
        <f>V10*Hypothèses!$B$34</f>
        <v/>
      </c>
      <c r="W17" s="27">
        <f>SUM(E17:V17)</f>
        <v/>
      </c>
    </row>
    <row r="18">
      <c r="A18" s="6" t="inlineStr">
        <is>
          <t>Sous-total flotte</t>
        </is>
      </c>
      <c r="E18" s="27">
        <f>SUM(E16:E17)</f>
        <v/>
      </c>
      <c r="F18" s="27">
        <f>SUM(F16:F17)</f>
        <v/>
      </c>
      <c r="G18" s="27">
        <f>SUM(G16:G17)</f>
        <v/>
      </c>
      <c r="H18" s="27">
        <f>SUM(H16:H17)</f>
        <v/>
      </c>
      <c r="I18" s="27">
        <f>SUM(I16:I17)</f>
        <v/>
      </c>
      <c r="J18" s="27">
        <f>SUM(J16:J17)</f>
        <v/>
      </c>
      <c r="K18" s="27">
        <f>SUM(K16:K17)</f>
        <v/>
      </c>
      <c r="L18" s="27">
        <f>SUM(L16:L17)</f>
        <v/>
      </c>
      <c r="M18" s="27">
        <f>SUM(M16:M17)</f>
        <v/>
      </c>
      <c r="N18" s="27">
        <f>SUM(N16:N17)</f>
        <v/>
      </c>
      <c r="O18" s="27">
        <f>SUM(O16:O17)</f>
        <v/>
      </c>
      <c r="P18" s="27">
        <f>SUM(P16:P17)</f>
        <v/>
      </c>
      <c r="Q18" s="27">
        <f>SUM(Q16:Q17)</f>
        <v/>
      </c>
      <c r="R18" s="27">
        <f>SUM(R16:R17)</f>
        <v/>
      </c>
      <c r="S18" s="27">
        <f>SUM(S16:S17)</f>
        <v/>
      </c>
      <c r="T18" s="27">
        <f>SUM(T16:T17)</f>
        <v/>
      </c>
      <c r="U18" s="27">
        <f>SUM(U16:U17)</f>
        <v/>
      </c>
      <c r="V18" s="27">
        <f>SUM(V16:V17)</f>
        <v/>
      </c>
      <c r="W18" s="27">
        <f>SUM(E18:V18)</f>
        <v/>
      </c>
    </row>
    <row r="19">
      <c r="A19" s="12" t="inlineStr">
        <is>
          <t>PLATEFORME ET OUTILS</t>
        </is>
      </c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</row>
    <row r="20" ht="27" customHeight="1">
      <c r="A20" s="13" t="inlineStr">
        <is>
          <t>Développement sur mesure (option A)</t>
        </is>
      </c>
      <c r="B20" s="58" t="inlineStr">
        <is>
          <t>Fixe</t>
        </is>
      </c>
      <c r="C20" s="58" t="inlineStr">
        <is>
          <t>CAPEX</t>
        </is>
      </c>
      <c r="D20" s="56" t="inlineStr">
        <is>
          <t>Option A : 120 j × 650 €, réparti sur les mois de construction</t>
        </is>
      </c>
      <c r="E20" s="53">
        <f>IF(AND(Hypothèses!$B$31="A",E$3&lt;Hypothèses!$B$71),Hypothèses!$B$51/(Hypothèses!$B$71-1),0)</f>
        <v/>
      </c>
      <c r="F20" s="53">
        <f>IF(AND(Hypothèses!$B$31="A",F$3&lt;Hypothèses!$B$71),Hypothèses!$B$51/(Hypothèses!$B$71-1),0)</f>
        <v/>
      </c>
      <c r="G20" s="53">
        <f>IF(AND(Hypothèses!$B$31="A",G$3&lt;Hypothèses!$B$71),Hypothèses!$B$51/(Hypothèses!$B$71-1),0)</f>
        <v/>
      </c>
      <c r="H20" s="53">
        <f>IF(AND(Hypothèses!$B$31="A",H$3&lt;Hypothèses!$B$71),Hypothèses!$B$51/(Hypothèses!$B$71-1),0)</f>
        <v/>
      </c>
      <c r="I20" s="53">
        <f>IF(AND(Hypothèses!$B$31="A",I$3&lt;Hypothèses!$B$71),Hypothèses!$B$51/(Hypothèses!$B$71-1),0)</f>
        <v/>
      </c>
      <c r="J20" s="53">
        <f>IF(AND(Hypothèses!$B$31="A",J$3&lt;Hypothèses!$B$71),Hypothèses!$B$51/(Hypothèses!$B$71-1),0)</f>
        <v/>
      </c>
      <c r="K20" s="53">
        <f>IF(AND(Hypothèses!$B$31="A",K$3&lt;Hypothèses!$B$71),Hypothèses!$B$51/(Hypothèses!$B$71-1),0)</f>
        <v/>
      </c>
      <c r="L20" s="53">
        <f>IF(AND(Hypothèses!$B$31="A",L$3&lt;Hypothèses!$B$71),Hypothèses!$B$51/(Hypothèses!$B$71-1),0)</f>
        <v/>
      </c>
      <c r="M20" s="53">
        <f>IF(AND(Hypothèses!$B$31="A",M$3&lt;Hypothèses!$B$71),Hypothèses!$B$51/(Hypothèses!$B$71-1),0)</f>
        <v/>
      </c>
      <c r="N20" s="53">
        <f>IF(AND(Hypothèses!$B$31="A",N$3&lt;Hypothèses!$B$71),Hypothèses!$B$51/(Hypothèses!$B$71-1),0)</f>
        <v/>
      </c>
      <c r="O20" s="53">
        <f>IF(AND(Hypothèses!$B$31="A",O$3&lt;Hypothèses!$B$71),Hypothèses!$B$51/(Hypothèses!$B$71-1),0)</f>
        <v/>
      </c>
      <c r="P20" s="53">
        <f>IF(AND(Hypothèses!$B$31="A",P$3&lt;Hypothèses!$B$71),Hypothèses!$B$51/(Hypothèses!$B$71-1),0)</f>
        <v/>
      </c>
      <c r="Q20" s="53">
        <f>IF(AND(Hypothèses!$B$31="A",Q$3&lt;Hypothèses!$B$71),Hypothèses!$B$51/(Hypothèses!$B$71-1),0)</f>
        <v/>
      </c>
      <c r="R20" s="53">
        <f>IF(AND(Hypothèses!$B$31="A",R$3&lt;Hypothèses!$B$71),Hypothèses!$B$51/(Hypothèses!$B$71-1),0)</f>
        <v/>
      </c>
      <c r="S20" s="53">
        <f>IF(AND(Hypothèses!$B$31="A",S$3&lt;Hypothèses!$B$71),Hypothèses!$B$51/(Hypothèses!$B$71-1),0)</f>
        <v/>
      </c>
      <c r="T20" s="53">
        <f>IF(AND(Hypothèses!$B$31="A",T$3&lt;Hypothèses!$B$71),Hypothèses!$B$51/(Hypothèses!$B$71-1),0)</f>
        <v/>
      </c>
      <c r="U20" s="53">
        <f>IF(AND(Hypothèses!$B$31="A",U$3&lt;Hypothèses!$B$71),Hypothèses!$B$51/(Hypothèses!$B$71-1),0)</f>
        <v/>
      </c>
      <c r="V20" s="53">
        <f>IF(AND(Hypothèses!$B$31="A",V$3&lt;Hypothèses!$B$71),Hypothèses!$B$51/(Hypothèses!$B$71-1),0)</f>
        <v/>
      </c>
      <c r="W20" s="27">
        <f>SUM(E20:V20)</f>
        <v/>
      </c>
    </row>
    <row r="21" ht="27" customHeight="1">
      <c r="A21" s="13" t="inlineStr">
        <is>
          <t>Maintenance de la plateforme (option A)</t>
        </is>
      </c>
      <c r="B21" s="58" t="inlineStr">
        <is>
          <t>Fixe</t>
        </is>
      </c>
      <c r="C21" s="58" t="inlineStr">
        <is>
          <t>OPEX</t>
        </is>
      </c>
      <c r="D21" s="56" t="inlineStr">
        <is>
          <t>Option A : 15 % du développement par an ÷ 12, dès le lancement</t>
        </is>
      </c>
      <c r="E21" s="53">
        <f>IF(AND(Hypothèses!$B$31="A",E$3&gt;=Hypothèses!$B$71),Hypothèses!$B$52,0)</f>
        <v/>
      </c>
      <c r="F21" s="53">
        <f>IF(AND(Hypothèses!$B$31="A",F$3&gt;=Hypothèses!$B$71),Hypothèses!$B$52,0)</f>
        <v/>
      </c>
      <c r="G21" s="53">
        <f>IF(AND(Hypothèses!$B$31="A",G$3&gt;=Hypothèses!$B$71),Hypothèses!$B$52,0)</f>
        <v/>
      </c>
      <c r="H21" s="53">
        <f>IF(AND(Hypothèses!$B$31="A",H$3&gt;=Hypothèses!$B$71),Hypothèses!$B$52,0)</f>
        <v/>
      </c>
      <c r="I21" s="53">
        <f>IF(AND(Hypothèses!$B$31="A",I$3&gt;=Hypothèses!$B$71),Hypothèses!$B$52,0)</f>
        <v/>
      </c>
      <c r="J21" s="53">
        <f>IF(AND(Hypothèses!$B$31="A",J$3&gt;=Hypothèses!$B$71),Hypothèses!$B$52,0)</f>
        <v/>
      </c>
      <c r="K21" s="53">
        <f>IF(AND(Hypothèses!$B$31="A",K$3&gt;=Hypothèses!$B$71),Hypothèses!$B$52,0)</f>
        <v/>
      </c>
      <c r="L21" s="53">
        <f>IF(AND(Hypothèses!$B$31="A",L$3&gt;=Hypothèses!$B$71),Hypothèses!$B$52,0)</f>
        <v/>
      </c>
      <c r="M21" s="53">
        <f>IF(AND(Hypothèses!$B$31="A",M$3&gt;=Hypothèses!$B$71),Hypothèses!$B$52,0)</f>
        <v/>
      </c>
      <c r="N21" s="53">
        <f>IF(AND(Hypothèses!$B$31="A",N$3&gt;=Hypothèses!$B$71),Hypothèses!$B$52,0)</f>
        <v/>
      </c>
      <c r="O21" s="53">
        <f>IF(AND(Hypothèses!$B$31="A",O$3&gt;=Hypothèses!$B$71),Hypothèses!$B$52,0)</f>
        <v/>
      </c>
      <c r="P21" s="53">
        <f>IF(AND(Hypothèses!$B$31="A",P$3&gt;=Hypothèses!$B$71),Hypothèses!$B$52,0)</f>
        <v/>
      </c>
      <c r="Q21" s="53">
        <f>IF(AND(Hypothèses!$B$31="A",Q$3&gt;=Hypothèses!$B$71),Hypothèses!$B$52,0)</f>
        <v/>
      </c>
      <c r="R21" s="53">
        <f>IF(AND(Hypothèses!$B$31="A",R$3&gt;=Hypothèses!$B$71),Hypothèses!$B$52,0)</f>
        <v/>
      </c>
      <c r="S21" s="53">
        <f>IF(AND(Hypothèses!$B$31="A",S$3&gt;=Hypothèses!$B$71),Hypothèses!$B$52,0)</f>
        <v/>
      </c>
      <c r="T21" s="53">
        <f>IF(AND(Hypothèses!$B$31="A",T$3&gt;=Hypothèses!$B$71),Hypothèses!$B$52,0)</f>
        <v/>
      </c>
      <c r="U21" s="53">
        <f>IF(AND(Hypothèses!$B$31="A",U$3&gt;=Hypothèses!$B$71),Hypothèses!$B$52,0)</f>
        <v/>
      </c>
      <c r="V21" s="53">
        <f>IF(AND(Hypothèses!$B$31="A",V$3&gt;=Hypothèses!$B$71),Hypothèses!$B$52,0)</f>
        <v/>
      </c>
      <c r="W21" s="27">
        <f>SUM(E21:V21)</f>
        <v/>
      </c>
    </row>
    <row r="22" ht="27" customHeight="1">
      <c r="A22" s="13" t="inlineStr">
        <is>
          <t>Abonnement SaaS, part fixe (option B)</t>
        </is>
      </c>
      <c r="B22" s="58" t="inlineStr">
        <is>
          <t>Fixe</t>
        </is>
      </c>
      <c r="C22" s="58" t="inlineStr">
        <is>
          <t>OPEX</t>
        </is>
      </c>
      <c r="D22" s="56" t="inlineStr">
        <is>
          <t>Option B : 1 500 € par mois dès le mois 1 (paramétrage)</t>
        </is>
      </c>
      <c r="E22" s="53">
        <f>IF(Hypothèses!$B$31="B",Hypothèses!$B$17,0)</f>
        <v/>
      </c>
      <c r="F22" s="53">
        <f>IF(Hypothèses!$B$31="B",Hypothèses!$B$17,0)</f>
        <v/>
      </c>
      <c r="G22" s="53">
        <f>IF(Hypothèses!$B$31="B",Hypothèses!$B$17,0)</f>
        <v/>
      </c>
      <c r="H22" s="53">
        <f>IF(Hypothèses!$B$31="B",Hypothèses!$B$17,0)</f>
        <v/>
      </c>
      <c r="I22" s="53">
        <f>IF(Hypothèses!$B$31="B",Hypothèses!$B$17,0)</f>
        <v/>
      </c>
      <c r="J22" s="53">
        <f>IF(Hypothèses!$B$31="B",Hypothèses!$B$17,0)</f>
        <v/>
      </c>
      <c r="K22" s="53">
        <f>IF(Hypothèses!$B$31="B",Hypothèses!$B$17,0)</f>
        <v/>
      </c>
      <c r="L22" s="53">
        <f>IF(Hypothèses!$B$31="B",Hypothèses!$B$17,0)</f>
        <v/>
      </c>
      <c r="M22" s="53">
        <f>IF(Hypothèses!$B$31="B",Hypothèses!$B$17,0)</f>
        <v/>
      </c>
      <c r="N22" s="53">
        <f>IF(Hypothèses!$B$31="B",Hypothèses!$B$17,0)</f>
        <v/>
      </c>
      <c r="O22" s="53">
        <f>IF(Hypothèses!$B$31="B",Hypothèses!$B$17,0)</f>
        <v/>
      </c>
      <c r="P22" s="53">
        <f>IF(Hypothèses!$B$31="B",Hypothèses!$B$17,0)</f>
        <v/>
      </c>
      <c r="Q22" s="53">
        <f>IF(Hypothèses!$B$31="B",Hypothèses!$B$17,0)</f>
        <v/>
      </c>
      <c r="R22" s="53">
        <f>IF(Hypothèses!$B$31="B",Hypothèses!$B$17,0)</f>
        <v/>
      </c>
      <c r="S22" s="53">
        <f>IF(Hypothèses!$B$31="B",Hypothèses!$B$17,0)</f>
        <v/>
      </c>
      <c r="T22" s="53">
        <f>IF(Hypothèses!$B$31="B",Hypothèses!$B$17,0)</f>
        <v/>
      </c>
      <c r="U22" s="53">
        <f>IF(Hypothèses!$B$31="B",Hypothèses!$B$17,0)</f>
        <v/>
      </c>
      <c r="V22" s="53">
        <f>IF(Hypothèses!$B$31="B",Hypothèses!$B$17,0)</f>
        <v/>
      </c>
      <c r="W22" s="27">
        <f>SUM(E22:V22)</f>
        <v/>
      </c>
    </row>
    <row r="23" ht="27" customHeight="1">
      <c r="A23" s="13" t="inlineStr">
        <is>
          <t>Commission SaaS sur le chiffre d'affaires (option B)</t>
        </is>
      </c>
      <c r="B23" s="58" t="inlineStr">
        <is>
          <t>Variable</t>
        </is>
      </c>
      <c r="C23" s="58" t="inlineStr">
        <is>
          <t>OPEX</t>
        </is>
      </c>
      <c r="D23" s="56" t="inlineStr">
        <is>
          <t>Option B : 2 % du chiffre d'affaires du mois</t>
        </is>
      </c>
      <c r="E23" s="53">
        <f>IF(Hypothèses!$B$31="B",E14*Hypothèses!$B$18,0)</f>
        <v/>
      </c>
      <c r="F23" s="53">
        <f>IF(Hypothèses!$B$31="B",F14*Hypothèses!$B$18,0)</f>
        <v/>
      </c>
      <c r="G23" s="53">
        <f>IF(Hypothèses!$B$31="B",G14*Hypothèses!$B$18,0)</f>
        <v/>
      </c>
      <c r="H23" s="53">
        <f>IF(Hypothèses!$B$31="B",H14*Hypothèses!$B$18,0)</f>
        <v/>
      </c>
      <c r="I23" s="53">
        <f>IF(Hypothèses!$B$31="B",I14*Hypothèses!$B$18,0)</f>
        <v/>
      </c>
      <c r="J23" s="53">
        <f>IF(Hypothèses!$B$31="B",J14*Hypothèses!$B$18,0)</f>
        <v/>
      </c>
      <c r="K23" s="53">
        <f>IF(Hypothèses!$B$31="B",K14*Hypothèses!$B$18,0)</f>
        <v/>
      </c>
      <c r="L23" s="53">
        <f>IF(Hypothèses!$B$31="B",L14*Hypothèses!$B$18,0)</f>
        <v/>
      </c>
      <c r="M23" s="53">
        <f>IF(Hypothèses!$B$31="B",M14*Hypothèses!$B$18,0)</f>
        <v/>
      </c>
      <c r="N23" s="53">
        <f>IF(Hypothèses!$B$31="B",N14*Hypothèses!$B$18,0)</f>
        <v/>
      </c>
      <c r="O23" s="53">
        <f>IF(Hypothèses!$B$31="B",O14*Hypothèses!$B$18,0)</f>
        <v/>
      </c>
      <c r="P23" s="53">
        <f>IF(Hypothèses!$B$31="B",P14*Hypothèses!$B$18,0)</f>
        <v/>
      </c>
      <c r="Q23" s="53">
        <f>IF(Hypothèses!$B$31="B",Q14*Hypothèses!$B$18,0)</f>
        <v/>
      </c>
      <c r="R23" s="53">
        <f>IF(Hypothèses!$B$31="B",R14*Hypothèses!$B$18,0)</f>
        <v/>
      </c>
      <c r="S23" s="53">
        <f>IF(Hypothèses!$B$31="B",S14*Hypothèses!$B$18,0)</f>
        <v/>
      </c>
      <c r="T23" s="53">
        <f>IF(Hypothèses!$B$31="B",T14*Hypothèses!$B$18,0)</f>
        <v/>
      </c>
      <c r="U23" s="53">
        <f>IF(Hypothèses!$B$31="B",U14*Hypothèses!$B$18,0)</f>
        <v/>
      </c>
      <c r="V23" s="53">
        <f>IF(Hypothèses!$B$31="B",V14*Hypothèses!$B$18,0)</f>
        <v/>
      </c>
      <c r="W23" s="27">
        <f>SUM(E23:V23)</f>
        <v/>
      </c>
    </row>
    <row r="24" ht="27" customHeight="1">
      <c r="A24" s="13" t="inlineStr">
        <is>
          <t>Autres outils et licences</t>
        </is>
      </c>
      <c r="B24" s="58" t="inlineStr">
        <is>
          <t>Fixe</t>
        </is>
      </c>
      <c r="C24" s="58" t="inlineStr">
        <is>
          <t>OPEX</t>
        </is>
      </c>
      <c r="D24" s="56" t="inlineStr">
        <is>
          <t>Outils marketing (250 €), dès le mois qui précède le lancement</t>
        </is>
      </c>
      <c r="E24" s="53">
        <f>IF(E$3&gt;=Hypothèses!$B$71-1,Hypothèses!$B$57,0)</f>
        <v/>
      </c>
      <c r="F24" s="53">
        <f>IF(F$3&gt;=Hypothèses!$B$71-1,Hypothèses!$B$57,0)</f>
        <v/>
      </c>
      <c r="G24" s="53">
        <f>IF(G$3&gt;=Hypothèses!$B$71-1,Hypothèses!$B$57,0)</f>
        <v/>
      </c>
      <c r="H24" s="53">
        <f>IF(H$3&gt;=Hypothèses!$B$71-1,Hypothèses!$B$57,0)</f>
        <v/>
      </c>
      <c r="I24" s="53">
        <f>IF(I$3&gt;=Hypothèses!$B$71-1,Hypothèses!$B$57,0)</f>
        <v/>
      </c>
      <c r="J24" s="53">
        <f>IF(J$3&gt;=Hypothèses!$B$71-1,Hypothèses!$B$57,0)</f>
        <v/>
      </c>
      <c r="K24" s="53">
        <f>IF(K$3&gt;=Hypothèses!$B$71-1,Hypothèses!$B$57,0)</f>
        <v/>
      </c>
      <c r="L24" s="53">
        <f>IF(L$3&gt;=Hypothèses!$B$71-1,Hypothèses!$B$57,0)</f>
        <v/>
      </c>
      <c r="M24" s="53">
        <f>IF(M$3&gt;=Hypothèses!$B$71-1,Hypothèses!$B$57,0)</f>
        <v/>
      </c>
      <c r="N24" s="53">
        <f>IF(N$3&gt;=Hypothèses!$B$71-1,Hypothèses!$B$57,0)</f>
        <v/>
      </c>
      <c r="O24" s="53">
        <f>IF(O$3&gt;=Hypothèses!$B$71-1,Hypothèses!$B$57,0)</f>
        <v/>
      </c>
      <c r="P24" s="53">
        <f>IF(P$3&gt;=Hypothèses!$B$71-1,Hypothèses!$B$57,0)</f>
        <v/>
      </c>
      <c r="Q24" s="53">
        <f>IF(Q$3&gt;=Hypothèses!$B$71-1,Hypothèses!$B$57,0)</f>
        <v/>
      </c>
      <c r="R24" s="53">
        <f>IF(R$3&gt;=Hypothèses!$B$71-1,Hypothèses!$B$57,0)</f>
        <v/>
      </c>
      <c r="S24" s="53">
        <f>IF(S$3&gt;=Hypothèses!$B$71-1,Hypothèses!$B$57,0)</f>
        <v/>
      </c>
      <c r="T24" s="53">
        <f>IF(T$3&gt;=Hypothèses!$B$71-1,Hypothèses!$B$57,0)</f>
        <v/>
      </c>
      <c r="U24" s="53">
        <f>IF(U$3&gt;=Hypothèses!$B$71-1,Hypothèses!$B$57,0)</f>
        <v/>
      </c>
      <c r="V24" s="53">
        <f>IF(V$3&gt;=Hypothèses!$B$71-1,Hypothèses!$B$57,0)</f>
        <v/>
      </c>
      <c r="W24" s="27">
        <f>SUM(E24:V24)</f>
        <v/>
      </c>
    </row>
    <row r="25">
      <c r="A25" s="6" t="inlineStr">
        <is>
          <t>Sous-total plateforme et outils</t>
        </is>
      </c>
      <c r="E25" s="27">
        <f>SUM(E20:E24)</f>
        <v/>
      </c>
      <c r="F25" s="27">
        <f>SUM(F20:F24)</f>
        <v/>
      </c>
      <c r="G25" s="27">
        <f>SUM(G20:G24)</f>
        <v/>
      </c>
      <c r="H25" s="27">
        <f>SUM(H20:H24)</f>
        <v/>
      </c>
      <c r="I25" s="27">
        <f>SUM(I20:I24)</f>
        <v/>
      </c>
      <c r="J25" s="27">
        <f>SUM(J20:J24)</f>
        <v/>
      </c>
      <c r="K25" s="27">
        <f>SUM(K20:K24)</f>
        <v/>
      </c>
      <c r="L25" s="27">
        <f>SUM(L20:L24)</f>
        <v/>
      </c>
      <c r="M25" s="27">
        <f>SUM(M20:M24)</f>
        <v/>
      </c>
      <c r="N25" s="27">
        <f>SUM(N20:N24)</f>
        <v/>
      </c>
      <c r="O25" s="27">
        <f>SUM(O20:O24)</f>
        <v/>
      </c>
      <c r="P25" s="27">
        <f>SUM(P20:P24)</f>
        <v/>
      </c>
      <c r="Q25" s="27">
        <f>SUM(Q20:Q24)</f>
        <v/>
      </c>
      <c r="R25" s="27">
        <f>SUM(R20:R24)</f>
        <v/>
      </c>
      <c r="S25" s="27">
        <f>SUM(S20:S24)</f>
        <v/>
      </c>
      <c r="T25" s="27">
        <f>SUM(T20:T24)</f>
        <v/>
      </c>
      <c r="U25" s="27">
        <f>SUM(U20:U24)</f>
        <v/>
      </c>
      <c r="V25" s="27">
        <f>SUM(V20:V24)</f>
        <v/>
      </c>
      <c r="W25" s="27">
        <f>SUM(E25:V25)</f>
        <v/>
      </c>
    </row>
    <row r="26">
      <c r="A26" s="12" t="inlineStr">
        <is>
          <t>RH INTERNES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</row>
    <row r="27">
      <c r="A27" s="13" t="inlineStr">
        <is>
          <t>Chef de projet</t>
        </is>
      </c>
      <c r="B27" s="8" t="inlineStr">
        <is>
          <t>Fixe</t>
        </is>
      </c>
      <c r="C27" s="8" t="inlineStr">
        <is>
          <t>OPEX</t>
        </is>
      </c>
      <c r="D27" s="28" t="inlineStr">
        <is>
          <t>Brut × coefficient ÷ 12</t>
        </is>
      </c>
      <c r="E27" s="29">
        <f>Hypothèses!$B$48</f>
        <v/>
      </c>
      <c r="F27" s="29">
        <f>Hypothèses!$B$48</f>
        <v/>
      </c>
      <c r="G27" s="29">
        <f>Hypothèses!$B$48</f>
        <v/>
      </c>
      <c r="H27" s="29">
        <f>Hypothèses!$B$48</f>
        <v/>
      </c>
      <c r="I27" s="29">
        <f>Hypothèses!$B$48</f>
        <v/>
      </c>
      <c r="J27" s="29">
        <f>Hypothèses!$B$48</f>
        <v/>
      </c>
      <c r="K27" s="29">
        <f>Hypothèses!$B$48</f>
        <v/>
      </c>
      <c r="L27" s="29">
        <f>Hypothèses!$B$48</f>
        <v/>
      </c>
      <c r="M27" s="29">
        <f>Hypothèses!$B$48</f>
        <v/>
      </c>
      <c r="N27" s="29">
        <f>Hypothèses!$B$48</f>
        <v/>
      </c>
      <c r="O27" s="29">
        <f>Hypothèses!$B$48</f>
        <v/>
      </c>
      <c r="P27" s="29">
        <f>Hypothèses!$B$48</f>
        <v/>
      </c>
      <c r="Q27" s="29">
        <f>Hypothèses!$B$48</f>
        <v/>
      </c>
      <c r="R27" s="29">
        <f>Hypothèses!$B$48</f>
        <v/>
      </c>
      <c r="S27" s="29">
        <f>Hypothèses!$B$48</f>
        <v/>
      </c>
      <c r="T27" s="29">
        <f>Hypothèses!$B$48</f>
        <v/>
      </c>
      <c r="U27" s="29">
        <f>Hypothèses!$B$48</f>
        <v/>
      </c>
      <c r="V27" s="29">
        <f>Hypothèses!$B$48</f>
        <v/>
      </c>
      <c r="W27" s="27">
        <f>SUM(E27:V27)</f>
        <v/>
      </c>
    </row>
    <row r="28" ht="27" customHeight="1">
      <c r="A28" s="13" t="inlineStr">
        <is>
          <t>Responsable marketing digital (mi-temps)</t>
        </is>
      </c>
      <c r="B28" s="58" t="inlineStr">
        <is>
          <t>Fixe</t>
        </is>
      </c>
      <c r="C28" s="58" t="inlineStr">
        <is>
          <t>OPEX</t>
        </is>
      </c>
      <c r="D28" s="56" t="inlineStr">
        <is>
          <t>Brut × mi-temps × coefficient ÷ 12</t>
        </is>
      </c>
      <c r="E28" s="59">
        <f>Hypothèses!$B$49</f>
        <v/>
      </c>
      <c r="F28" s="59">
        <f>Hypothèses!$B$49</f>
        <v/>
      </c>
      <c r="G28" s="59">
        <f>Hypothèses!$B$49</f>
        <v/>
      </c>
      <c r="H28" s="59">
        <f>Hypothèses!$B$49</f>
        <v/>
      </c>
      <c r="I28" s="59">
        <f>Hypothèses!$B$49</f>
        <v/>
      </c>
      <c r="J28" s="59">
        <f>Hypothèses!$B$49</f>
        <v/>
      </c>
      <c r="K28" s="59">
        <f>Hypothèses!$B$49</f>
        <v/>
      </c>
      <c r="L28" s="59">
        <f>Hypothèses!$B$49</f>
        <v/>
      </c>
      <c r="M28" s="59">
        <f>Hypothèses!$B$49</f>
        <v/>
      </c>
      <c r="N28" s="59">
        <f>Hypothèses!$B$49</f>
        <v/>
      </c>
      <c r="O28" s="59">
        <f>Hypothèses!$B$49</f>
        <v/>
      </c>
      <c r="P28" s="59">
        <f>Hypothèses!$B$49</f>
        <v/>
      </c>
      <c r="Q28" s="59">
        <f>Hypothèses!$B$49</f>
        <v/>
      </c>
      <c r="R28" s="59">
        <f>Hypothèses!$B$49</f>
        <v/>
      </c>
      <c r="S28" s="59">
        <f>Hypothèses!$B$49</f>
        <v/>
      </c>
      <c r="T28" s="59">
        <f>Hypothèses!$B$49</f>
        <v/>
      </c>
      <c r="U28" s="59">
        <f>Hypothèses!$B$49</f>
        <v/>
      </c>
      <c r="V28" s="59">
        <f>Hypothèses!$B$49</f>
        <v/>
      </c>
      <c r="W28" s="27">
        <f>SUM(E28:V28)</f>
        <v/>
      </c>
    </row>
    <row r="29" ht="27" customHeight="1">
      <c r="A29" s="13" t="inlineStr">
        <is>
          <t>Techniciens</t>
        </is>
      </c>
      <c r="B29" s="58" t="inlineStr">
        <is>
          <t>Par paliers</t>
        </is>
      </c>
      <c r="C29" s="58" t="inlineStr">
        <is>
          <t>OPEX</t>
        </is>
      </c>
      <c r="D29" s="56" t="inlineStr">
        <is>
          <t>Coût chargé d'un technicien × techniciens embauchés à date</t>
        </is>
      </c>
      <c r="E29" s="53">
        <f>Hypothèses!$B$50/Hypothèses!$B$23*(IF(E$3&gt;=Hypothèses!$B$24,1,0)+IF(E$3&gt;=Hypothèses!$B$75,1,0))</f>
        <v/>
      </c>
      <c r="F29" s="53">
        <f>Hypothèses!$B$50/Hypothèses!$B$23*(IF(F$3&gt;=Hypothèses!$B$24,1,0)+IF(F$3&gt;=Hypothèses!$B$75,1,0))</f>
        <v/>
      </c>
      <c r="G29" s="53">
        <f>Hypothèses!$B$50/Hypothèses!$B$23*(IF(G$3&gt;=Hypothèses!$B$24,1,0)+IF(G$3&gt;=Hypothèses!$B$75,1,0))</f>
        <v/>
      </c>
      <c r="H29" s="53">
        <f>Hypothèses!$B$50/Hypothèses!$B$23*(IF(H$3&gt;=Hypothèses!$B$24,1,0)+IF(H$3&gt;=Hypothèses!$B$75,1,0))</f>
        <v/>
      </c>
      <c r="I29" s="53">
        <f>Hypothèses!$B$50/Hypothèses!$B$23*(IF(I$3&gt;=Hypothèses!$B$24,1,0)+IF(I$3&gt;=Hypothèses!$B$75,1,0))</f>
        <v/>
      </c>
      <c r="J29" s="53">
        <f>Hypothèses!$B$50/Hypothèses!$B$23*(IF(J$3&gt;=Hypothèses!$B$24,1,0)+IF(J$3&gt;=Hypothèses!$B$75,1,0))</f>
        <v/>
      </c>
      <c r="K29" s="53">
        <f>Hypothèses!$B$50/Hypothèses!$B$23*(IF(K$3&gt;=Hypothèses!$B$24,1,0)+IF(K$3&gt;=Hypothèses!$B$75,1,0))</f>
        <v/>
      </c>
      <c r="L29" s="53">
        <f>Hypothèses!$B$50/Hypothèses!$B$23*(IF(L$3&gt;=Hypothèses!$B$24,1,0)+IF(L$3&gt;=Hypothèses!$B$75,1,0))</f>
        <v/>
      </c>
      <c r="M29" s="53">
        <f>Hypothèses!$B$50/Hypothèses!$B$23*(IF(M$3&gt;=Hypothèses!$B$24,1,0)+IF(M$3&gt;=Hypothèses!$B$75,1,0))</f>
        <v/>
      </c>
      <c r="N29" s="53">
        <f>Hypothèses!$B$50/Hypothèses!$B$23*(IF(N$3&gt;=Hypothèses!$B$24,1,0)+IF(N$3&gt;=Hypothèses!$B$75,1,0))</f>
        <v/>
      </c>
      <c r="O29" s="53">
        <f>Hypothèses!$B$50/Hypothèses!$B$23*(IF(O$3&gt;=Hypothèses!$B$24,1,0)+IF(O$3&gt;=Hypothèses!$B$75,1,0))</f>
        <v/>
      </c>
      <c r="P29" s="53">
        <f>Hypothèses!$B$50/Hypothèses!$B$23*(IF(P$3&gt;=Hypothèses!$B$24,1,0)+IF(P$3&gt;=Hypothèses!$B$75,1,0))</f>
        <v/>
      </c>
      <c r="Q29" s="53">
        <f>Hypothèses!$B$50/Hypothèses!$B$23*(IF(Q$3&gt;=Hypothèses!$B$24,1,0)+IF(Q$3&gt;=Hypothèses!$B$75,1,0))</f>
        <v/>
      </c>
      <c r="R29" s="53">
        <f>Hypothèses!$B$50/Hypothèses!$B$23*(IF(R$3&gt;=Hypothèses!$B$24,1,0)+IF(R$3&gt;=Hypothèses!$B$75,1,0))</f>
        <v/>
      </c>
      <c r="S29" s="53">
        <f>Hypothèses!$B$50/Hypothèses!$B$23*(IF(S$3&gt;=Hypothèses!$B$24,1,0)+IF(S$3&gt;=Hypothèses!$B$75,1,0))</f>
        <v/>
      </c>
      <c r="T29" s="53">
        <f>Hypothèses!$B$50/Hypothèses!$B$23*(IF(T$3&gt;=Hypothèses!$B$24,1,0)+IF(T$3&gt;=Hypothèses!$B$75,1,0))</f>
        <v/>
      </c>
      <c r="U29" s="53">
        <f>Hypothèses!$B$50/Hypothèses!$B$23*(IF(U$3&gt;=Hypothèses!$B$24,1,0)+IF(U$3&gt;=Hypothèses!$B$75,1,0))</f>
        <v/>
      </c>
      <c r="V29" s="53">
        <f>Hypothèses!$B$50/Hypothèses!$B$23*(IF(V$3&gt;=Hypothèses!$B$24,1,0)+IF(V$3&gt;=Hypothèses!$B$75,1,0))</f>
        <v/>
      </c>
      <c r="W29" s="27">
        <f>SUM(E29:V29)</f>
        <v/>
      </c>
    </row>
    <row r="30">
      <c r="A30" s="6" t="inlineStr">
        <is>
          <t>Sous-total RH internes</t>
        </is>
      </c>
      <c r="E30" s="27">
        <f>SUM(E27:E29)</f>
        <v/>
      </c>
      <c r="F30" s="27">
        <f>SUM(F27:F29)</f>
        <v/>
      </c>
      <c r="G30" s="27">
        <f>SUM(G27:G29)</f>
        <v/>
      </c>
      <c r="H30" s="27">
        <f>SUM(H27:H29)</f>
        <v/>
      </c>
      <c r="I30" s="27">
        <f>SUM(I27:I29)</f>
        <v/>
      </c>
      <c r="J30" s="27">
        <f>SUM(J27:J29)</f>
        <v/>
      </c>
      <c r="K30" s="27">
        <f>SUM(K27:K29)</f>
        <v/>
      </c>
      <c r="L30" s="27">
        <f>SUM(L27:L29)</f>
        <v/>
      </c>
      <c r="M30" s="27">
        <f>SUM(M27:M29)</f>
        <v/>
      </c>
      <c r="N30" s="27">
        <f>SUM(N27:N29)</f>
        <v/>
      </c>
      <c r="O30" s="27">
        <f>SUM(O27:O29)</f>
        <v/>
      </c>
      <c r="P30" s="27">
        <f>SUM(P27:P29)</f>
        <v/>
      </c>
      <c r="Q30" s="27">
        <f>SUM(Q27:Q29)</f>
        <v/>
      </c>
      <c r="R30" s="27">
        <f>SUM(R27:R29)</f>
        <v/>
      </c>
      <c r="S30" s="27">
        <f>SUM(S27:S29)</f>
        <v/>
      </c>
      <c r="T30" s="27">
        <f>SUM(T27:T29)</f>
        <v/>
      </c>
      <c r="U30" s="27">
        <f>SUM(U27:U29)</f>
        <v/>
      </c>
      <c r="V30" s="27">
        <f>SUM(V27:V29)</f>
        <v/>
      </c>
      <c r="W30" s="27">
        <f>SUM(E30:V30)</f>
        <v/>
      </c>
    </row>
    <row r="31">
      <c r="A31" s="12" t="inlineStr">
        <is>
          <t>PRESTATIONS EXTERNES</t>
        </is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</row>
    <row r="32" ht="27" customHeight="1">
      <c r="A32" s="13" t="inlineStr">
        <is>
          <t>Agence et freelances (hors plateforme)</t>
        </is>
      </c>
      <c r="B32" s="58" t="inlineStr">
        <is>
          <t>Fixe</t>
        </is>
      </c>
      <c r="C32" s="58" t="inlineStr">
        <is>
          <t>OPEX</t>
        </is>
      </c>
      <c r="D32" s="56" t="inlineStr">
        <is>
          <t>Production du lancement : 8 j × 650 €, le mois qui précède le lancement</t>
        </is>
      </c>
      <c r="E32" s="53">
        <f>IF(E$3=Hypothèses!$B$71-1,Hypothèses!$B$59*Hypothèses!$B$15,0)</f>
        <v/>
      </c>
      <c r="F32" s="53">
        <f>IF(F$3=Hypothèses!$B$71-1,Hypothèses!$B$59*Hypothèses!$B$15,0)</f>
        <v/>
      </c>
      <c r="G32" s="53">
        <f>IF(G$3=Hypothèses!$B$71-1,Hypothèses!$B$59*Hypothèses!$B$15,0)</f>
        <v/>
      </c>
      <c r="H32" s="53">
        <f>IF(H$3=Hypothèses!$B$71-1,Hypothèses!$B$59*Hypothèses!$B$15,0)</f>
        <v/>
      </c>
      <c r="I32" s="53">
        <f>IF(I$3=Hypothèses!$B$71-1,Hypothèses!$B$59*Hypothèses!$B$15,0)</f>
        <v/>
      </c>
      <c r="J32" s="53">
        <f>IF(J$3=Hypothèses!$B$71-1,Hypothèses!$B$59*Hypothèses!$B$15,0)</f>
        <v/>
      </c>
      <c r="K32" s="53">
        <f>IF(K$3=Hypothèses!$B$71-1,Hypothèses!$B$59*Hypothèses!$B$15,0)</f>
        <v/>
      </c>
      <c r="L32" s="53">
        <f>IF(L$3=Hypothèses!$B$71-1,Hypothèses!$B$59*Hypothèses!$B$15,0)</f>
        <v/>
      </c>
      <c r="M32" s="53">
        <f>IF(M$3=Hypothèses!$B$71-1,Hypothèses!$B$59*Hypothèses!$B$15,0)</f>
        <v/>
      </c>
      <c r="N32" s="53">
        <f>IF(N$3=Hypothèses!$B$71-1,Hypothèses!$B$59*Hypothèses!$B$15,0)</f>
        <v/>
      </c>
      <c r="O32" s="53">
        <f>IF(O$3=Hypothèses!$B$71-1,Hypothèses!$B$59*Hypothèses!$B$15,0)</f>
        <v/>
      </c>
      <c r="P32" s="53">
        <f>IF(P$3=Hypothèses!$B$71-1,Hypothèses!$B$59*Hypothèses!$B$15,0)</f>
        <v/>
      </c>
      <c r="Q32" s="53">
        <f>IF(Q$3=Hypothèses!$B$71-1,Hypothèses!$B$59*Hypothèses!$B$15,0)</f>
        <v/>
      </c>
      <c r="R32" s="53">
        <f>IF(R$3=Hypothèses!$B$71-1,Hypothèses!$B$59*Hypothèses!$B$15,0)</f>
        <v/>
      </c>
      <c r="S32" s="53">
        <f>IF(S$3=Hypothèses!$B$71-1,Hypothèses!$B$59*Hypothèses!$B$15,0)</f>
        <v/>
      </c>
      <c r="T32" s="53">
        <f>IF(T$3=Hypothèses!$B$71-1,Hypothèses!$B$59*Hypothèses!$B$15,0)</f>
        <v/>
      </c>
      <c r="U32" s="53">
        <f>IF(U$3=Hypothèses!$B$71-1,Hypothèses!$B$59*Hypothèses!$B$15,0)</f>
        <v/>
      </c>
      <c r="V32" s="53">
        <f>IF(V$3=Hypothèses!$B$71-1,Hypothèses!$B$59*Hypothèses!$B$15,0)</f>
        <v/>
      </c>
      <c r="W32" s="27">
        <f>SUM(E32:V32)</f>
        <v/>
      </c>
    </row>
    <row r="33">
      <c r="A33" s="6" t="inlineStr">
        <is>
          <t>Sous-total prestations externes</t>
        </is>
      </c>
      <c r="E33" s="27">
        <f>SUM(E32:E32)</f>
        <v/>
      </c>
      <c r="F33" s="27">
        <f>SUM(F32:F32)</f>
        <v/>
      </c>
      <c r="G33" s="27">
        <f>SUM(G32:G32)</f>
        <v/>
      </c>
      <c r="H33" s="27">
        <f>SUM(H32:H32)</f>
        <v/>
      </c>
      <c r="I33" s="27">
        <f>SUM(I32:I32)</f>
        <v/>
      </c>
      <c r="J33" s="27">
        <f>SUM(J32:J32)</f>
        <v/>
      </c>
      <c r="K33" s="27">
        <f>SUM(K32:K32)</f>
        <v/>
      </c>
      <c r="L33" s="27">
        <f>SUM(L32:L32)</f>
        <v/>
      </c>
      <c r="M33" s="27">
        <f>SUM(M32:M32)</f>
        <v/>
      </c>
      <c r="N33" s="27">
        <f>SUM(N32:N32)</f>
        <v/>
      </c>
      <c r="O33" s="27">
        <f>SUM(O32:O32)</f>
        <v/>
      </c>
      <c r="P33" s="27">
        <f>SUM(P32:P32)</f>
        <v/>
      </c>
      <c r="Q33" s="27">
        <f>SUM(Q32:Q32)</f>
        <v/>
      </c>
      <c r="R33" s="27">
        <f>SUM(R32:R32)</f>
        <v/>
      </c>
      <c r="S33" s="27">
        <f>SUM(S32:S32)</f>
        <v/>
      </c>
      <c r="T33" s="27">
        <f>SUM(T32:T32)</f>
        <v/>
      </c>
      <c r="U33" s="27">
        <f>SUM(U32:U32)</f>
        <v/>
      </c>
      <c r="V33" s="27">
        <f>SUM(V32:V32)</f>
        <v/>
      </c>
      <c r="W33" s="27">
        <f>SUM(E33:V33)</f>
        <v/>
      </c>
    </row>
    <row r="34">
      <c r="A34" s="12" t="inlineStr">
        <is>
          <t>MÉDIA ET ACQUISITION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</row>
    <row r="35" ht="27" customHeight="1">
      <c r="A35" s="13" t="inlineStr">
        <is>
          <t>Achat média</t>
        </is>
      </c>
      <c r="B35" s="58" t="inlineStr">
        <is>
          <t>Variable</t>
        </is>
      </c>
      <c r="C35" s="58" t="inlineStr">
        <is>
          <t>OPEX</t>
        </is>
      </c>
      <c r="D35" s="56" t="inlineStr">
        <is>
          <t>Nouveaux abonnés × CAC (CPC ÷ conversion)</t>
        </is>
      </c>
      <c r="E35" s="53">
        <f>E6*Hypothèses!$B$47</f>
        <v/>
      </c>
      <c r="F35" s="53">
        <f>F6*Hypothèses!$B$47</f>
        <v/>
      </c>
      <c r="G35" s="53">
        <f>G6*Hypothèses!$B$47</f>
        <v/>
      </c>
      <c r="H35" s="53">
        <f>H6*Hypothèses!$B$47</f>
        <v/>
      </c>
      <c r="I35" s="53">
        <f>I6*Hypothèses!$B$47</f>
        <v/>
      </c>
      <c r="J35" s="53">
        <f>J6*Hypothèses!$B$47</f>
        <v/>
      </c>
      <c r="K35" s="53">
        <f>K6*Hypothèses!$B$47</f>
        <v/>
      </c>
      <c r="L35" s="53">
        <f>L6*Hypothèses!$B$47</f>
        <v/>
      </c>
      <c r="M35" s="53">
        <f>M6*Hypothèses!$B$47</f>
        <v/>
      </c>
      <c r="N35" s="53">
        <f>N6*Hypothèses!$B$47</f>
        <v/>
      </c>
      <c r="O35" s="53">
        <f>O6*Hypothèses!$B$47</f>
        <v/>
      </c>
      <c r="P35" s="53">
        <f>P6*Hypothèses!$B$47</f>
        <v/>
      </c>
      <c r="Q35" s="53">
        <f>Q6*Hypothèses!$B$47</f>
        <v/>
      </c>
      <c r="R35" s="53">
        <f>R6*Hypothèses!$B$47</f>
        <v/>
      </c>
      <c r="S35" s="53">
        <f>S6*Hypothèses!$B$47</f>
        <v/>
      </c>
      <c r="T35" s="53">
        <f>T6*Hypothèses!$B$47</f>
        <v/>
      </c>
      <c r="U35" s="53">
        <f>U6*Hypothèses!$B$47</f>
        <v/>
      </c>
      <c r="V35" s="53">
        <f>V6*Hypothèses!$B$47</f>
        <v/>
      </c>
      <c r="W35" s="27">
        <f>SUM(E35:V35)</f>
        <v/>
      </c>
    </row>
    <row r="36" ht="27" customHeight="1">
      <c r="A36" s="13" t="inlineStr">
        <is>
          <t>Création et contenus</t>
        </is>
      </c>
      <c r="B36" s="58" t="inlineStr">
        <is>
          <t>Fixe</t>
        </is>
      </c>
      <c r="C36" s="58" t="inlineStr">
        <is>
          <t>OPEX</t>
        </is>
      </c>
      <c r="D36" s="56" t="inlineStr">
        <is>
          <t>Forfait mensuel dès le mois qui précède le lancement</t>
        </is>
      </c>
      <c r="E36" s="53">
        <f>IF(E$3&gt;=Hypothèses!$B$71-1,Hypothèses!$B$76,0)</f>
        <v/>
      </c>
      <c r="F36" s="53">
        <f>IF(F$3&gt;=Hypothèses!$B$71-1,Hypothèses!$B$76,0)</f>
        <v/>
      </c>
      <c r="G36" s="53">
        <f>IF(G$3&gt;=Hypothèses!$B$71-1,Hypothèses!$B$76,0)</f>
        <v/>
      </c>
      <c r="H36" s="53">
        <f>IF(H$3&gt;=Hypothèses!$B$71-1,Hypothèses!$B$76,0)</f>
        <v/>
      </c>
      <c r="I36" s="53">
        <f>IF(I$3&gt;=Hypothèses!$B$71-1,Hypothèses!$B$76,0)</f>
        <v/>
      </c>
      <c r="J36" s="53">
        <f>IF(J$3&gt;=Hypothèses!$B$71-1,Hypothèses!$B$76,0)</f>
        <v/>
      </c>
      <c r="K36" s="53">
        <f>IF(K$3&gt;=Hypothèses!$B$71-1,Hypothèses!$B$76,0)</f>
        <v/>
      </c>
      <c r="L36" s="53">
        <f>IF(L$3&gt;=Hypothèses!$B$71-1,Hypothèses!$B$76,0)</f>
        <v/>
      </c>
      <c r="M36" s="53">
        <f>IF(M$3&gt;=Hypothèses!$B$71-1,Hypothèses!$B$76,0)</f>
        <v/>
      </c>
      <c r="N36" s="53">
        <f>IF(N$3&gt;=Hypothèses!$B$71-1,Hypothèses!$B$76,0)</f>
        <v/>
      </c>
      <c r="O36" s="53">
        <f>IF(O$3&gt;=Hypothèses!$B$71-1,Hypothèses!$B$76,0)</f>
        <v/>
      </c>
      <c r="P36" s="53">
        <f>IF(P$3&gt;=Hypothèses!$B$71-1,Hypothèses!$B$76,0)</f>
        <v/>
      </c>
      <c r="Q36" s="53">
        <f>IF(Q$3&gt;=Hypothèses!$B$71-1,Hypothèses!$B$76,0)</f>
        <v/>
      </c>
      <c r="R36" s="53">
        <f>IF(R$3&gt;=Hypothèses!$B$71-1,Hypothèses!$B$76,0)</f>
        <v/>
      </c>
      <c r="S36" s="53">
        <f>IF(S$3&gt;=Hypothèses!$B$71-1,Hypothèses!$B$76,0)</f>
        <v/>
      </c>
      <c r="T36" s="53">
        <f>IF(T$3&gt;=Hypothèses!$B$71-1,Hypothèses!$B$76,0)</f>
        <v/>
      </c>
      <c r="U36" s="53">
        <f>IF(U$3&gt;=Hypothèses!$B$71-1,Hypothèses!$B$76,0)</f>
        <v/>
      </c>
      <c r="V36" s="53">
        <f>IF(V$3&gt;=Hypothèses!$B$71-1,Hypothèses!$B$76,0)</f>
        <v/>
      </c>
      <c r="W36" s="27">
        <f>SUM(E36:V36)</f>
        <v/>
      </c>
    </row>
    <row r="37">
      <c r="A37" s="6" t="inlineStr">
        <is>
          <t>Sous-total média et acquisition</t>
        </is>
      </c>
      <c r="E37" s="27">
        <f>SUM(E35:E36)</f>
        <v/>
      </c>
      <c r="F37" s="27">
        <f>SUM(F35:F36)</f>
        <v/>
      </c>
      <c r="G37" s="27">
        <f>SUM(G35:G36)</f>
        <v/>
      </c>
      <c r="H37" s="27">
        <f>SUM(H35:H36)</f>
        <v/>
      </c>
      <c r="I37" s="27">
        <f>SUM(I35:I36)</f>
        <v/>
      </c>
      <c r="J37" s="27">
        <f>SUM(J35:J36)</f>
        <v/>
      </c>
      <c r="K37" s="27">
        <f>SUM(K35:K36)</f>
        <v/>
      </c>
      <c r="L37" s="27">
        <f>SUM(L35:L36)</f>
        <v/>
      </c>
      <c r="M37" s="27">
        <f>SUM(M35:M36)</f>
        <v/>
      </c>
      <c r="N37" s="27">
        <f>SUM(N35:N36)</f>
        <v/>
      </c>
      <c r="O37" s="27">
        <f>SUM(O35:O36)</f>
        <v/>
      </c>
      <c r="P37" s="27">
        <f>SUM(P35:P36)</f>
        <v/>
      </c>
      <c r="Q37" s="27">
        <f>SUM(Q35:Q36)</f>
        <v/>
      </c>
      <c r="R37" s="27">
        <f>SUM(R35:R36)</f>
        <v/>
      </c>
      <c r="S37" s="27">
        <f>SUM(S35:S36)</f>
        <v/>
      </c>
      <c r="T37" s="27">
        <f>SUM(T35:T36)</f>
        <v/>
      </c>
      <c r="U37" s="27">
        <f>SUM(U35:U36)</f>
        <v/>
      </c>
      <c r="V37" s="27">
        <f>SUM(V35:V36)</f>
        <v/>
      </c>
      <c r="W37" s="27">
        <f>SUM(E37:V37)</f>
        <v/>
      </c>
    </row>
    <row r="38">
      <c r="A38" s="12" t="inlineStr">
        <is>
          <t>EXPLOITATION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12" t="n"/>
      <c r="R38" s="12" t="n"/>
      <c r="S38" s="12" t="n"/>
      <c r="T38" s="12" t="n"/>
      <c r="U38" s="12" t="n"/>
      <c r="V38" s="12" t="n"/>
      <c r="W38" s="12" t="n"/>
    </row>
    <row r="39" ht="27" customHeight="1">
      <c r="A39" s="13" t="inlineStr">
        <is>
          <t>Entretien et assurance</t>
        </is>
      </c>
      <c r="B39" s="58" t="inlineStr">
        <is>
          <t>Variable</t>
        </is>
      </c>
      <c r="C39" s="58" t="inlineStr">
        <is>
          <t>OPEX</t>
        </is>
      </c>
      <c r="D39" s="56" t="inlineStr">
        <is>
          <t>Abonnés actifs × 9 €</t>
        </is>
      </c>
      <c r="E39" s="53">
        <f>E8*Hypothèses!$B$13</f>
        <v/>
      </c>
      <c r="F39" s="53">
        <f>F8*Hypothèses!$B$13</f>
        <v/>
      </c>
      <c r="G39" s="53">
        <f>G8*Hypothèses!$B$13</f>
        <v/>
      </c>
      <c r="H39" s="53">
        <f>H8*Hypothèses!$B$13</f>
        <v/>
      </c>
      <c r="I39" s="53">
        <f>I8*Hypothèses!$B$13</f>
        <v/>
      </c>
      <c r="J39" s="53">
        <f>J8*Hypothèses!$B$13</f>
        <v/>
      </c>
      <c r="K39" s="53">
        <f>K8*Hypothèses!$B$13</f>
        <v/>
      </c>
      <c r="L39" s="53">
        <f>L8*Hypothèses!$B$13</f>
        <v/>
      </c>
      <c r="M39" s="53">
        <f>M8*Hypothèses!$B$13</f>
        <v/>
      </c>
      <c r="N39" s="53">
        <f>N8*Hypothèses!$B$13</f>
        <v/>
      </c>
      <c r="O39" s="53">
        <f>O8*Hypothèses!$B$13</f>
        <v/>
      </c>
      <c r="P39" s="53">
        <f>P8*Hypothèses!$B$13</f>
        <v/>
      </c>
      <c r="Q39" s="53">
        <f>Q8*Hypothèses!$B$13</f>
        <v/>
      </c>
      <c r="R39" s="53">
        <f>R8*Hypothèses!$B$13</f>
        <v/>
      </c>
      <c r="S39" s="53">
        <f>S8*Hypothèses!$B$13</f>
        <v/>
      </c>
      <c r="T39" s="53">
        <f>T8*Hypothèses!$B$13</f>
        <v/>
      </c>
      <c r="U39" s="53">
        <f>U8*Hypothèses!$B$13</f>
        <v/>
      </c>
      <c r="V39" s="53">
        <f>V8*Hypothèses!$B$13</f>
        <v/>
      </c>
      <c r="W39" s="27">
        <f>SUM(E39:V39)</f>
        <v/>
      </c>
    </row>
    <row r="40" ht="27" customHeight="1">
      <c r="A40" s="13" t="inlineStr">
        <is>
          <t>Service client et divers</t>
        </is>
      </c>
      <c r="B40" s="58" t="inlineStr">
        <is>
          <t>Variable</t>
        </is>
      </c>
      <c r="C40" s="58" t="inlineStr">
        <is>
          <t>OPEX</t>
        </is>
      </c>
      <c r="D40" s="56" t="inlineStr">
        <is>
          <t>Frais de paiement : chiffre d'affaires × 1,5 %</t>
        </is>
      </c>
      <c r="E40" s="53">
        <f>E14*Hypothèses!$B$60</f>
        <v/>
      </c>
      <c r="F40" s="53">
        <f>F14*Hypothèses!$B$60</f>
        <v/>
      </c>
      <c r="G40" s="53">
        <f>G14*Hypothèses!$B$60</f>
        <v/>
      </c>
      <c r="H40" s="53">
        <f>H14*Hypothèses!$B$60</f>
        <v/>
      </c>
      <c r="I40" s="53">
        <f>I14*Hypothèses!$B$60</f>
        <v/>
      </c>
      <c r="J40" s="53">
        <f>J14*Hypothèses!$B$60</f>
        <v/>
      </c>
      <c r="K40" s="53">
        <f>K14*Hypothèses!$B$60</f>
        <v/>
      </c>
      <c r="L40" s="53">
        <f>L14*Hypothèses!$B$60</f>
        <v/>
      </c>
      <c r="M40" s="53">
        <f>M14*Hypothèses!$B$60</f>
        <v/>
      </c>
      <c r="N40" s="53">
        <f>N14*Hypothèses!$B$60</f>
        <v/>
      </c>
      <c r="O40" s="53">
        <f>O14*Hypothèses!$B$60</f>
        <v/>
      </c>
      <c r="P40" s="53">
        <f>P14*Hypothèses!$B$60</f>
        <v/>
      </c>
      <c r="Q40" s="53">
        <f>Q14*Hypothèses!$B$60</f>
        <v/>
      </c>
      <c r="R40" s="53">
        <f>R14*Hypothèses!$B$60</f>
        <v/>
      </c>
      <c r="S40" s="53">
        <f>S14*Hypothèses!$B$60</f>
        <v/>
      </c>
      <c r="T40" s="53">
        <f>T14*Hypothèses!$B$60</f>
        <v/>
      </c>
      <c r="U40" s="53">
        <f>U14*Hypothèses!$B$60</f>
        <v/>
      </c>
      <c r="V40" s="53">
        <f>V14*Hypothèses!$B$60</f>
        <v/>
      </c>
      <c r="W40" s="27">
        <f>SUM(E40:V40)</f>
        <v/>
      </c>
    </row>
    <row r="41">
      <c r="A41" s="6" t="inlineStr">
        <is>
          <t>Sous-total exploitation</t>
        </is>
      </c>
      <c r="E41" s="27">
        <f>SUM(E39:E40)</f>
        <v/>
      </c>
      <c r="F41" s="27">
        <f>SUM(F39:F40)</f>
        <v/>
      </c>
      <c r="G41" s="27">
        <f>SUM(G39:G40)</f>
        <v/>
      </c>
      <c r="H41" s="27">
        <f>SUM(H39:H40)</f>
        <v/>
      </c>
      <c r="I41" s="27">
        <f>SUM(I39:I40)</f>
        <v/>
      </c>
      <c r="J41" s="27">
        <f>SUM(J39:J40)</f>
        <v/>
      </c>
      <c r="K41" s="27">
        <f>SUM(K39:K40)</f>
        <v/>
      </c>
      <c r="L41" s="27">
        <f>SUM(L39:L40)</f>
        <v/>
      </c>
      <c r="M41" s="27">
        <f>SUM(M39:M40)</f>
        <v/>
      </c>
      <c r="N41" s="27">
        <f>SUM(N39:N40)</f>
        <v/>
      </c>
      <c r="O41" s="27">
        <f>SUM(O39:O40)</f>
        <v/>
      </c>
      <c r="P41" s="27">
        <f>SUM(P39:P40)</f>
        <v/>
      </c>
      <c r="Q41" s="27">
        <f>SUM(Q39:Q40)</f>
        <v/>
      </c>
      <c r="R41" s="27">
        <f>SUM(R39:R40)</f>
        <v/>
      </c>
      <c r="S41" s="27">
        <f>SUM(S39:S40)</f>
        <v/>
      </c>
      <c r="T41" s="27">
        <f>SUM(T39:T40)</f>
        <v/>
      </c>
      <c r="U41" s="27">
        <f>SUM(U39:U40)</f>
        <v/>
      </c>
      <c r="V41" s="27">
        <f>SUM(V39:V40)</f>
        <v/>
      </c>
      <c r="W41" s="27">
        <f>SUM(E41:V41)</f>
        <v/>
      </c>
    </row>
    <row r="42">
      <c r="A42" s="12" t="inlineStr">
        <is>
          <t>PROVISION POUR ALÉAS</t>
        </is>
      </c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</row>
    <row r="43" ht="27" customHeight="1">
      <c r="A43" s="13" t="inlineStr">
        <is>
          <t>Provision</t>
        </is>
      </c>
      <c r="B43" s="58" t="inlineStr">
        <is>
          <t>Fixe</t>
        </is>
      </c>
      <c r="C43" s="58" t="inlineStr">
        <is>
          <t>OPEX</t>
        </is>
      </c>
      <c r="D43" s="56" t="inlineStr">
        <is>
          <t>Provision du registre des risques ÷ 18 mois</t>
        </is>
      </c>
      <c r="E43" s="59">
        <f>Hypothèses!$B$36/Hypothèses!$B$8</f>
        <v/>
      </c>
      <c r="F43" s="59">
        <f>Hypothèses!$B$36/Hypothèses!$B$8</f>
        <v/>
      </c>
      <c r="G43" s="59">
        <f>Hypothèses!$B$36/Hypothèses!$B$8</f>
        <v/>
      </c>
      <c r="H43" s="59">
        <f>Hypothèses!$B$36/Hypothèses!$B$8</f>
        <v/>
      </c>
      <c r="I43" s="59">
        <f>Hypothèses!$B$36/Hypothèses!$B$8</f>
        <v/>
      </c>
      <c r="J43" s="59">
        <f>Hypothèses!$B$36/Hypothèses!$B$8</f>
        <v/>
      </c>
      <c r="K43" s="59">
        <f>Hypothèses!$B$36/Hypothèses!$B$8</f>
        <v/>
      </c>
      <c r="L43" s="59">
        <f>Hypothèses!$B$36/Hypothèses!$B$8</f>
        <v/>
      </c>
      <c r="M43" s="59">
        <f>Hypothèses!$B$36/Hypothèses!$B$8</f>
        <v/>
      </c>
      <c r="N43" s="59">
        <f>Hypothèses!$B$36/Hypothèses!$B$8</f>
        <v/>
      </c>
      <c r="O43" s="59">
        <f>Hypothèses!$B$36/Hypothèses!$B$8</f>
        <v/>
      </c>
      <c r="P43" s="59">
        <f>Hypothèses!$B$36/Hypothèses!$B$8</f>
        <v/>
      </c>
      <c r="Q43" s="59">
        <f>Hypothèses!$B$36/Hypothèses!$B$8</f>
        <v/>
      </c>
      <c r="R43" s="59">
        <f>Hypothèses!$B$36/Hypothèses!$B$8</f>
        <v/>
      </c>
      <c r="S43" s="59">
        <f>Hypothèses!$B$36/Hypothèses!$B$8</f>
        <v/>
      </c>
      <c r="T43" s="59">
        <f>Hypothèses!$B$36/Hypothèses!$B$8</f>
        <v/>
      </c>
      <c r="U43" s="59">
        <f>Hypothèses!$B$36/Hypothèses!$B$8</f>
        <v/>
      </c>
      <c r="V43" s="59">
        <f>Hypothèses!$B$36/Hypothèses!$B$8</f>
        <v/>
      </c>
      <c r="W43" s="27">
        <f>SUM(E43:V43)</f>
        <v/>
      </c>
    </row>
    <row r="44">
      <c r="A44" s="6" t="inlineStr">
        <is>
          <t>TOTAL DES COÛTS</t>
        </is>
      </c>
      <c r="E44" s="27">
        <f>E18+E25+E30+E33+E37+E41+E43</f>
        <v/>
      </c>
      <c r="F44" s="27">
        <f>F18+F25+F30+F33+F37+F41+F43</f>
        <v/>
      </c>
      <c r="G44" s="27">
        <f>G18+G25+G30+G33+G37+G41+G43</f>
        <v/>
      </c>
      <c r="H44" s="27">
        <f>H18+H25+H30+H33+H37+H41+H43</f>
        <v/>
      </c>
      <c r="I44" s="27">
        <f>I18+I25+I30+I33+I37+I41+I43</f>
        <v/>
      </c>
      <c r="J44" s="27">
        <f>J18+J25+J30+J33+J37+J41+J43</f>
        <v/>
      </c>
      <c r="K44" s="27">
        <f>K18+K25+K30+K33+K37+K41+K43</f>
        <v/>
      </c>
      <c r="L44" s="27">
        <f>L18+L25+L30+L33+L37+L41+L43</f>
        <v/>
      </c>
      <c r="M44" s="27">
        <f>M18+M25+M30+M33+M37+M41+M43</f>
        <v/>
      </c>
      <c r="N44" s="27">
        <f>N18+N25+N30+N33+N37+N41+N43</f>
        <v/>
      </c>
      <c r="O44" s="27">
        <f>O18+O25+O30+O33+O37+O41+O43</f>
        <v/>
      </c>
      <c r="P44" s="27">
        <f>P18+P25+P30+P33+P37+P41+P43</f>
        <v/>
      </c>
      <c r="Q44" s="27">
        <f>Q18+Q25+Q30+Q33+Q37+Q41+Q43</f>
        <v/>
      </c>
      <c r="R44" s="27">
        <f>R18+R25+R30+R33+R37+R41+R43</f>
        <v/>
      </c>
      <c r="S44" s="27">
        <f>S18+S25+S30+S33+S37+S41+S43</f>
        <v/>
      </c>
      <c r="T44" s="27">
        <f>T18+T25+T30+T33+T37+T41+T43</f>
        <v/>
      </c>
      <c r="U44" s="27">
        <f>U18+U25+U30+U33+U37+U41+U43</f>
        <v/>
      </c>
      <c r="V44" s="27">
        <f>V18+V25+V30+V33+V37+V41+V43</f>
        <v/>
      </c>
      <c r="W44" s="27">
        <f>SUM(E44:V44)</f>
        <v/>
      </c>
    </row>
    <row r="45">
      <c r="A45" s="6" t="inlineStr">
        <is>
          <t>SOLDE DU MOIS (revenus − coûts)</t>
        </is>
      </c>
      <c r="E45" s="27">
        <f>E14-E44</f>
        <v/>
      </c>
      <c r="F45" s="27">
        <f>F14-F44</f>
        <v/>
      </c>
      <c r="G45" s="27">
        <f>G14-G44</f>
        <v/>
      </c>
      <c r="H45" s="27">
        <f>H14-H44</f>
        <v/>
      </c>
      <c r="I45" s="27">
        <f>I14-I44</f>
        <v/>
      </c>
      <c r="J45" s="27">
        <f>J14-J44</f>
        <v/>
      </c>
      <c r="K45" s="27">
        <f>K14-K44</f>
        <v/>
      </c>
      <c r="L45" s="27">
        <f>L14-L44</f>
        <v/>
      </c>
      <c r="M45" s="27">
        <f>M14-M44</f>
        <v/>
      </c>
      <c r="N45" s="27">
        <f>N14-N44</f>
        <v/>
      </c>
      <c r="O45" s="27">
        <f>O14-O44</f>
        <v/>
      </c>
      <c r="P45" s="27">
        <f>P14-P44</f>
        <v/>
      </c>
      <c r="Q45" s="27">
        <f>Q14-Q44</f>
        <v/>
      </c>
      <c r="R45" s="27">
        <f>R14-R44</f>
        <v/>
      </c>
      <c r="S45" s="27">
        <f>S14-S44</f>
        <v/>
      </c>
      <c r="T45" s="27">
        <f>T14-T44</f>
        <v/>
      </c>
      <c r="U45" s="27">
        <f>U14-U44</f>
        <v/>
      </c>
      <c r="V45" s="27">
        <f>V14-V44</f>
        <v/>
      </c>
      <c r="W45" s="27">
        <f>SUM(E45:V45)</f>
        <v/>
      </c>
    </row>
    <row r="46">
      <c r="A46" s="6" t="inlineStr">
        <is>
          <t>COÛTS CUMULÉS</t>
        </is>
      </c>
      <c r="E46" s="21">
        <f>E44</f>
        <v/>
      </c>
      <c r="F46" s="21">
        <f>E46+F44</f>
        <v/>
      </c>
      <c r="G46" s="21">
        <f>F46+G44</f>
        <v/>
      </c>
      <c r="H46" s="21">
        <f>G46+H44</f>
        <v/>
      </c>
      <c r="I46" s="21">
        <f>H46+I44</f>
        <v/>
      </c>
      <c r="J46" s="21">
        <f>I46+J44</f>
        <v/>
      </c>
      <c r="K46" s="21">
        <f>J46+K44</f>
        <v/>
      </c>
      <c r="L46" s="21">
        <f>K46+L44</f>
        <v/>
      </c>
      <c r="M46" s="21">
        <f>L46+M44</f>
        <v/>
      </c>
      <c r="N46" s="21">
        <f>M46+N44</f>
        <v/>
      </c>
      <c r="O46" s="21">
        <f>N46+O44</f>
        <v/>
      </c>
      <c r="P46" s="21">
        <f>O46+P44</f>
        <v/>
      </c>
      <c r="Q46" s="21">
        <f>P46+Q44</f>
        <v/>
      </c>
      <c r="R46" s="21">
        <f>Q46+R44</f>
        <v/>
      </c>
      <c r="S46" s="21">
        <f>R46+S44</f>
        <v/>
      </c>
      <c r="T46" s="21">
        <f>S46+T44</f>
        <v/>
      </c>
      <c r="U46" s="21">
        <f>T46+U44</f>
        <v/>
      </c>
      <c r="V46" s="21">
        <f>U46+V44</f>
        <v/>
      </c>
      <c r="W46" s="27">
        <f>V46</f>
        <v/>
      </c>
    </row>
    <row r="47">
      <c r="A47" s="6" t="inlineStr">
        <is>
          <t>REVENUS CUMULÉS</t>
        </is>
      </c>
      <c r="E47" s="21">
        <f>E14</f>
        <v/>
      </c>
      <c r="F47" s="21">
        <f>E47+F14</f>
        <v/>
      </c>
      <c r="G47" s="21">
        <f>F47+G14</f>
        <v/>
      </c>
      <c r="H47" s="21">
        <f>G47+H14</f>
        <v/>
      </c>
      <c r="I47" s="21">
        <f>H47+I14</f>
        <v/>
      </c>
      <c r="J47" s="21">
        <f>I47+J14</f>
        <v/>
      </c>
      <c r="K47" s="21">
        <f>J47+K14</f>
        <v/>
      </c>
      <c r="L47" s="21">
        <f>K47+L14</f>
        <v/>
      </c>
      <c r="M47" s="21">
        <f>L47+M14</f>
        <v/>
      </c>
      <c r="N47" s="21">
        <f>M47+N14</f>
        <v/>
      </c>
      <c r="O47" s="21">
        <f>N47+O14</f>
        <v/>
      </c>
      <c r="P47" s="21">
        <f>O47+P14</f>
        <v/>
      </c>
      <c r="Q47" s="21">
        <f>P47+Q14</f>
        <v/>
      </c>
      <c r="R47" s="21">
        <f>Q47+R14</f>
        <v/>
      </c>
      <c r="S47" s="21">
        <f>R47+S14</f>
        <v/>
      </c>
      <c r="T47" s="21">
        <f>S47+T14</f>
        <v/>
      </c>
      <c r="U47" s="21">
        <f>T47+U14</f>
        <v/>
      </c>
      <c r="V47" s="21">
        <f>U47+V14</f>
        <v/>
      </c>
      <c r="W47" s="27">
        <f>V47</f>
        <v/>
      </c>
    </row>
    <row r="48">
      <c r="A48" s="6" t="inlineStr">
        <is>
          <t>SOLDE CUMULÉ</t>
        </is>
      </c>
      <c r="E48" s="27">
        <f>E47-E46</f>
        <v/>
      </c>
      <c r="F48" s="27">
        <f>F47-F46</f>
        <v/>
      </c>
      <c r="G48" s="27">
        <f>G47-G46</f>
        <v/>
      </c>
      <c r="H48" s="27">
        <f>H47-H46</f>
        <v/>
      </c>
      <c r="I48" s="27">
        <f>I47-I46</f>
        <v/>
      </c>
      <c r="J48" s="27">
        <f>J47-J46</f>
        <v/>
      </c>
      <c r="K48" s="27">
        <f>K47-K46</f>
        <v/>
      </c>
      <c r="L48" s="27">
        <f>L47-L46</f>
        <v/>
      </c>
      <c r="M48" s="27">
        <f>M47-M46</f>
        <v/>
      </c>
      <c r="N48" s="27">
        <f>N47-N46</f>
        <v/>
      </c>
      <c r="O48" s="27">
        <f>O47-O46</f>
        <v/>
      </c>
      <c r="P48" s="27">
        <f>P47-P46</f>
        <v/>
      </c>
      <c r="Q48" s="27">
        <f>Q47-Q46</f>
        <v/>
      </c>
      <c r="R48" s="27">
        <f>R47-R46</f>
        <v/>
      </c>
      <c r="S48" s="27">
        <f>S47-S46</f>
        <v/>
      </c>
      <c r="T48" s="27">
        <f>T47-T46</f>
        <v/>
      </c>
      <c r="U48" s="27">
        <f>U47-U46</f>
        <v/>
      </c>
      <c r="V48" s="27">
        <f>V47-V46</f>
        <v/>
      </c>
      <c r="W48" s="27">
        <f>V48</f>
        <v/>
      </c>
    </row>
    <row r="49" ht="27.75" customHeight="1">
      <c r="A49" s="30" t="inlineStr">
        <is>
          <t>Résultat d'exploitation du mois (hors achat de vélos, développement et provision)</t>
        </is>
      </c>
      <c r="E49" s="21">
        <f>E14-(E44-E16-E20-E43)</f>
        <v/>
      </c>
      <c r="F49" s="21">
        <f>F14-(F44-F16-F20-F43)</f>
        <v/>
      </c>
      <c r="G49" s="21">
        <f>G14-(G44-G16-G20-G43)</f>
        <v/>
      </c>
      <c r="H49" s="21">
        <f>H14-(H44-H16-H20-H43)</f>
        <v/>
      </c>
      <c r="I49" s="21">
        <f>I14-(I44-I16-I20-I43)</f>
        <v/>
      </c>
      <c r="J49" s="21">
        <f>J14-(J44-J16-J20-J43)</f>
        <v/>
      </c>
      <c r="K49" s="21">
        <f>K14-(K44-K16-K20-K43)</f>
        <v/>
      </c>
      <c r="L49" s="21">
        <f>L14-(L44-L16-L20-L43)</f>
        <v/>
      </c>
      <c r="M49" s="21">
        <f>M14-(M44-M16-M20-M43)</f>
        <v/>
      </c>
      <c r="N49" s="21">
        <f>N14-(N44-N16-N20-N43)</f>
        <v/>
      </c>
      <c r="O49" s="21">
        <f>O14-(O44-O16-O20-O43)</f>
        <v/>
      </c>
      <c r="P49" s="21">
        <f>P14-(P44-P16-P20-P43)</f>
        <v/>
      </c>
      <c r="Q49" s="21">
        <f>Q14-(Q44-Q16-Q20-Q43)</f>
        <v/>
      </c>
      <c r="R49" s="21">
        <f>R14-(R44-R16-R20-R43)</f>
        <v/>
      </c>
      <c r="S49" s="21">
        <f>S14-(S44-S16-S20-S43)</f>
        <v/>
      </c>
      <c r="T49" s="21">
        <f>T14-(T44-T16-T20-T43)</f>
        <v/>
      </c>
      <c r="U49" s="21">
        <f>U14-(U44-U16-U20-U43)</f>
        <v/>
      </c>
      <c r="V49" s="21">
        <f>V14-(V44-V16-V20-V43)</f>
        <v/>
      </c>
      <c r="W49" s="27">
        <f>SUM(E49:V49)</f>
        <v/>
      </c>
    </row>
    <row r="50">
      <c r="A50" s="4" t="inlineStr">
        <is>
          <t>Exploitation positive (1 = oui)</t>
        </is>
      </c>
      <c r="E50" s="31">
        <f>IF(E49&gt;0,1,0)</f>
        <v/>
      </c>
      <c r="F50" s="31">
        <f>IF(F49&gt;0,1,0)</f>
        <v/>
      </c>
      <c r="G50" s="31">
        <f>IF(G49&gt;0,1,0)</f>
        <v/>
      </c>
      <c r="H50" s="31">
        <f>IF(H49&gt;0,1,0)</f>
        <v/>
      </c>
      <c r="I50" s="31">
        <f>IF(I49&gt;0,1,0)</f>
        <v/>
      </c>
      <c r="J50" s="31">
        <f>IF(J49&gt;0,1,0)</f>
        <v/>
      </c>
      <c r="K50" s="31">
        <f>IF(K49&gt;0,1,0)</f>
        <v/>
      </c>
      <c r="L50" s="31">
        <f>IF(L49&gt;0,1,0)</f>
        <v/>
      </c>
      <c r="M50" s="31">
        <f>IF(M49&gt;0,1,0)</f>
        <v/>
      </c>
      <c r="N50" s="31">
        <f>IF(N49&gt;0,1,0)</f>
        <v/>
      </c>
      <c r="O50" s="31">
        <f>IF(O49&gt;0,1,0)</f>
        <v/>
      </c>
      <c r="P50" s="31">
        <f>IF(P49&gt;0,1,0)</f>
        <v/>
      </c>
      <c r="Q50" s="31">
        <f>IF(Q49&gt;0,1,0)</f>
        <v/>
      </c>
      <c r="R50" s="31">
        <f>IF(R49&gt;0,1,0)</f>
        <v/>
      </c>
      <c r="S50" s="31">
        <f>IF(S49&gt;0,1,0)</f>
        <v/>
      </c>
      <c r="T50" s="31">
        <f>IF(T49&gt;0,1,0)</f>
        <v/>
      </c>
      <c r="U50" s="31">
        <f>IF(U49&gt;0,1,0)</f>
        <v/>
      </c>
      <c r="V50" s="31">
        <f>IF(V49&gt;0,1,0)</f>
        <v/>
      </c>
    </row>
    <row r="52">
      <c r="A52" s="4" t="inlineStr">
        <is>
          <t>Total « abonnés actifs » et « vélos » : valeur du dernier mois. Les abonnés-mois (somme des abonnés actifs de chaque mois) figurent dans l'onglet Synthèse.</t>
        </is>
      </c>
    </row>
    <row r="53">
      <c r="A53" s="4" t="inlineStr">
        <is>
          <t>Ligne « Chef de projet » : exemple déjà rempli, à conserver. Lignes non utilisées : laisser vides ou saisir 0.</t>
        </is>
      </c>
    </row>
  </sheetData>
  <dataValidations count="2">
    <dataValidation sqref="B12:B13 B16:B17 B20:B24 B27:B29 B32 B35:B36 B39:B40 B43" showDropDown="0" showInputMessage="0" showErrorMessage="0" allowBlank="1" type="list">
      <formula1>"Fixe,Variable,Par paliers"</formula1>
      <formula2>0</formula2>
    </dataValidation>
    <dataValidation sqref="C12:C13 C16:C17 C20:C24 C27:C29 C32 C35:C36 C39:C40 C43" showDropDown="0" showInputMessage="0" showErrorMessage="0" allowBlank="1" type="list">
      <formula1>"CAPEX,OPEX"</formula1>
      <formula2>0</formula2>
    </dataValidation>
  </dataValidations>
  <pageMargins left="0.75" right="0.75" top="1" bottom="1" header="0.511811023622047" footer="0.511811023622047"/>
  <pageSetup orientation="landscape" fitToHeight="0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6"/>
  <sheetViews>
    <sheetView topLeftCell="A20" zoomScale="140" zoomScaleNormal="100" workbookViewId="0">
      <selection activeCell="B31" sqref="B31"/>
    </sheetView>
  </sheetViews>
  <sheetFormatPr baseColWidth="10" defaultColWidth="8.6640625" defaultRowHeight="15"/>
  <cols>
    <col width="52" customWidth="1" min="1" max="1"/>
    <col width="18" customWidth="1" min="2" max="2"/>
    <col width="14" customWidth="1" min="3" max="3"/>
    <col width="60" customWidth="1" min="4" max="4"/>
  </cols>
  <sheetData>
    <row r="1" ht="18" customHeight="1">
      <c r="A1" s="3" t="inlineStr">
        <is>
          <t>Synthèse du budget</t>
        </is>
      </c>
    </row>
    <row r="2">
      <c r="A2" s="4" t="inlineStr">
        <is>
          <t>Lue directement dans l'onglet Budget mensualisé</t>
        </is>
      </c>
    </row>
    <row r="4">
      <c r="A4" s="23" t="inlineStr">
        <is>
          <t>Compartiment</t>
        </is>
      </c>
      <c r="B4" s="23" t="inlineStr">
        <is>
          <t>Total sur 18 mois (€)</t>
        </is>
      </c>
      <c r="C4" s="23" t="inlineStr">
        <is>
          <t>% des coûts</t>
        </is>
      </c>
    </row>
    <row r="5">
      <c r="A5" s="13" t="inlineStr">
        <is>
          <t>Flotte</t>
        </is>
      </c>
      <c r="B5" s="29">
        <f>'Budget mensualisé'!W18</f>
        <v/>
      </c>
      <c r="C5" s="32">
        <f>IF($B$12=0,0,B5/$B$12)</f>
        <v/>
      </c>
    </row>
    <row r="6">
      <c r="A6" s="13" t="inlineStr">
        <is>
          <t>Plateforme et outils</t>
        </is>
      </c>
      <c r="B6" s="29">
        <f>'Budget mensualisé'!W25</f>
        <v/>
      </c>
      <c r="C6" s="32">
        <f>IF($B$12=0,0,B6/$B$12)</f>
        <v/>
      </c>
    </row>
    <row r="7">
      <c r="A7" s="13" t="inlineStr">
        <is>
          <t>RH internes</t>
        </is>
      </c>
      <c r="B7" s="29">
        <f>'Budget mensualisé'!W30</f>
        <v/>
      </c>
      <c r="C7" s="32">
        <f>IF($B$12=0,0,B7/$B$12)</f>
        <v/>
      </c>
    </row>
    <row r="8">
      <c r="A8" s="13" t="inlineStr">
        <is>
          <t>Prestations externes</t>
        </is>
      </c>
      <c r="B8" s="29">
        <f>'Budget mensualisé'!W33</f>
        <v/>
      </c>
      <c r="C8" s="32">
        <f>IF($B$12=0,0,B8/$B$12)</f>
        <v/>
      </c>
    </row>
    <row r="9">
      <c r="A9" s="13" t="inlineStr">
        <is>
          <t>Média et acquisition</t>
        </is>
      </c>
      <c r="B9" s="29">
        <f>'Budget mensualisé'!W37</f>
        <v/>
      </c>
      <c r="C9" s="32">
        <f>IF($B$12=0,0,B9/$B$12)</f>
        <v/>
      </c>
    </row>
    <row r="10">
      <c r="A10" s="13" t="inlineStr">
        <is>
          <t>Exploitation</t>
        </is>
      </c>
      <c r="B10" s="29">
        <f>'Budget mensualisé'!W41</f>
        <v/>
      </c>
      <c r="C10" s="32">
        <f>IF($B$12=0,0,B10/$B$12)</f>
        <v/>
      </c>
    </row>
    <row r="11">
      <c r="A11" s="13" t="inlineStr">
        <is>
          <t>Provision pour aléas</t>
        </is>
      </c>
      <c r="B11" s="29">
        <f>'Budget mensualisé'!W43</f>
        <v/>
      </c>
      <c r="C11" s="32">
        <f>IF($B$12=0,0,B11/$B$12)</f>
        <v/>
      </c>
    </row>
    <row r="12">
      <c r="A12" s="6" t="inlineStr">
        <is>
          <t>Total des coûts</t>
        </is>
      </c>
      <c r="B12" s="27">
        <f>SUM(B5:B11)</f>
        <v/>
      </c>
      <c r="C12" s="32">
        <f>IF(B12=0,0,SUM(C5:C11))</f>
        <v/>
      </c>
      <c r="D12" s="4" t="n"/>
    </row>
    <row r="13">
      <c r="A13" s="4" t="inlineStr">
        <is>
          <t>Contrôle : écart avec le total du budget (doit être 0)</t>
        </is>
      </c>
      <c r="B13" s="21">
        <f>B12-'Budget mensualisé'!W44</f>
        <v/>
      </c>
    </row>
    <row r="15">
      <c r="A15" s="13" t="inlineStr">
        <is>
          <t>Revenus cumulés</t>
        </is>
      </c>
      <c r="B15" s="29">
        <f>'Budget mensualisé'!W14</f>
        <v/>
      </c>
    </row>
    <row r="16">
      <c r="A16" s="13" t="inlineStr">
        <is>
          <t>Solde à 18 mois (revenus − coûts)</t>
        </is>
      </c>
      <c r="B16" s="21">
        <f>B15-B12</f>
        <v/>
      </c>
    </row>
    <row r="17">
      <c r="A17" s="13" t="inlineStr">
        <is>
          <t>Enveloppe maximale</t>
        </is>
      </c>
      <c r="B17" s="29">
        <f>Hypothèses!$B$28</f>
        <v/>
      </c>
    </row>
    <row r="18">
      <c r="A18" s="13" t="inlineStr">
        <is>
          <t>Écart avec l'enveloppe (positif = dépassement)</t>
        </is>
      </c>
      <c r="B18" s="21">
        <f>B12-B17</f>
        <v/>
      </c>
    </row>
    <row r="19">
      <c r="A19" s="13" t="inlineStr">
        <is>
          <t>Écart en % de l'enveloppe</t>
        </is>
      </c>
      <c r="B19" s="32">
        <f>IF(B17=0,0,B18/B17)</f>
        <v/>
      </c>
    </row>
    <row r="21">
      <c r="A21" s="13" t="inlineStr">
        <is>
          <t>Abonnés actifs au dernier mois</t>
        </is>
      </c>
      <c r="B21" s="29">
        <f>'Budget mensualisé'!W8</f>
        <v/>
      </c>
    </row>
    <row r="22">
      <c r="A22" s="13" t="inlineStr">
        <is>
          <t>Acquisitions cumulées</t>
        </is>
      </c>
      <c r="B22" s="29">
        <f>'Budget mensualisé'!W6</f>
        <v/>
      </c>
    </row>
    <row r="23">
      <c r="A23" s="13" t="inlineStr">
        <is>
          <t>Abonnés-mois cumulés</t>
        </is>
      </c>
      <c r="B23" s="21">
        <f>SUM('Budget mensualisé'!E8:V8)</f>
        <v/>
      </c>
    </row>
    <row r="24">
      <c r="A24" s="13" t="inlineStr">
        <is>
          <t>Vélos en flotte au dernier mois</t>
        </is>
      </c>
      <c r="B24" s="29">
        <f>'Budget mensualisé'!W9</f>
        <v/>
      </c>
    </row>
    <row r="26">
      <c r="A26" s="13" t="inlineStr">
        <is>
          <t>Total CAPEX</t>
        </is>
      </c>
      <c r="B26" s="21">
        <f>SUMIF('Budget mensualisé'!$C$16:$C$43,"CAPEX",'Budget mensualisé'!$W$16:$W$43)</f>
        <v/>
      </c>
      <c r="D26" s="4" t="inlineStr">
        <is>
          <t>CAPEX et OPEX : lus dans la colonne C du budget, à renseigner ligne par ligne</t>
        </is>
      </c>
    </row>
    <row r="27">
      <c r="A27" s="13" t="inlineStr">
        <is>
          <t>Total OPEX</t>
        </is>
      </c>
      <c r="B27" s="21">
        <f>SUMIF('Budget mensualisé'!$C$16:$C$43,"OPEX",'Budget mensualisé'!$W$16:$W$43)</f>
        <v/>
      </c>
    </row>
    <row r="28">
      <c r="A28" s="13" t="inlineStr">
        <is>
          <t>Total des coûts fixes</t>
        </is>
      </c>
      <c r="B28" s="21">
        <f>SUMIF('Budget mensualisé'!$B$16:$B$43,"Fixe",'Budget mensualisé'!$W$16:$W$43)+SUMIF('Budget mensualisé'!$B$16:$B$43,"Par paliers",'Budget mensualisé'!$W$16:$W$43)</f>
        <v/>
      </c>
      <c r="D28" s="4" t="inlineStr">
        <is>
          <t>Fixe et variable : lus dans la colonne B du budget</t>
        </is>
      </c>
    </row>
    <row r="29">
      <c r="A29" s="13" t="inlineStr">
        <is>
          <t>Total des coûts variables</t>
        </is>
      </c>
      <c r="B29" s="21">
        <f>SUMIF('Budget mensualisé'!$B$16:$B$43,"Variable",'Budget mensualisé'!$W$16:$W$43)</f>
        <v/>
      </c>
    </row>
    <row r="31">
      <c r="A31" s="13" t="inlineStr">
        <is>
          <t>Premier mois d'exploitation positive</t>
        </is>
      </c>
      <c r="B31" s="31">
        <f>IFERROR(MATCH(1,'Budget mensualisé'!E50:V50,0),"aucun")</f>
        <v/>
      </c>
    </row>
    <row r="33">
      <c r="A33" s="12" t="inlineStr">
        <is>
          <t>Point mort</t>
        </is>
      </c>
      <c r="B33" s="12" t="n"/>
      <c r="C33" s="12" t="n"/>
      <c r="D33" s="12" t="n"/>
    </row>
    <row r="34">
      <c r="A34" s="13" t="inlineStr">
        <is>
          <t>Coûts fixes mensuels en exploitation</t>
        </is>
      </c>
      <c r="B34" s="45">
        <f>Hypothèses!B48+Hypothèses!B49+Hypothèses!B50+IF(Hypothèses!B31="A",Hypothèses!B52,Hypothèses!B17)</f>
        <v/>
      </c>
      <c r="C34" s="44" t="inlineStr">
        <is>
          <t>€ par mois</t>
        </is>
      </c>
      <c r="D34" s="4" t="inlineStr">
        <is>
          <t>Équipe chargée + maintenance ou abonnement de la plateforme</t>
        </is>
      </c>
    </row>
    <row r="35">
      <c r="A35" s="13" t="inlineStr">
        <is>
          <t>Marge par abonné, sans le vélo</t>
        </is>
      </c>
      <c r="B35" s="46">
        <f>Hypothèses!B53</f>
        <v/>
      </c>
      <c r="C35" s="44" t="inlineStr">
        <is>
          <t>€ par mois</t>
        </is>
      </c>
      <c r="D35" s="4" t="inlineStr">
        <is>
          <t>Prix − entretien et assurance</t>
        </is>
      </c>
    </row>
    <row r="36">
      <c r="A36" s="13" t="inlineStr">
        <is>
          <t>Point mort, sans le vélo</t>
        </is>
      </c>
      <c r="B36" s="45">
        <f>B34/B35</f>
        <v/>
      </c>
      <c r="C36" s="44" t="inlineStr">
        <is>
          <t>abonnés</t>
        </is>
      </c>
      <c r="D36" s="4" t="inlineStr">
        <is>
          <t>Coûts fixes ÷ marge par abonné</t>
        </is>
      </c>
    </row>
    <row r="37">
      <c r="A37" s="13" t="inlineStr">
        <is>
          <t>Marge par abonné, avec l'amortissement du vélo</t>
        </is>
      </c>
      <c r="B37" s="46">
        <f>B35-Hypothèses!B54</f>
        <v/>
      </c>
      <c r="C37" s="44" t="inlineStr">
        <is>
          <t>€ par mois</t>
        </is>
      </c>
      <c r="D37" s="4" t="inlineStr">
        <is>
          <t>Marge − coût du vélo ÷ durée d'usage</t>
        </is>
      </c>
    </row>
    <row r="38">
      <c r="A38" s="13" t="inlineStr">
        <is>
          <t>Point mort, avec l'amortissement du vélo</t>
        </is>
      </c>
      <c r="B38" s="45">
        <f>B34/B37</f>
        <v/>
      </c>
      <c r="C38" s="44" t="inlineStr">
        <is>
          <t>abonnés</t>
        </is>
      </c>
      <c r="D38" s="4" t="inlineStr">
        <is>
          <t>Coûts fixes ÷ marge après amortissement</t>
        </is>
      </c>
    </row>
    <row r="39">
      <c r="A39" s="13" t="inlineStr">
        <is>
          <t>Seuil mensuel, média compris</t>
        </is>
      </c>
      <c r="B39" s="45">
        <f>(B34+Hypothèses!B46*Hypothèses!B47)/B35</f>
        <v/>
      </c>
      <c r="C39" s="44" t="inlineStr">
        <is>
          <t>abonnés</t>
        </is>
      </c>
      <c r="D39" s="4" t="inlineStr">
        <is>
          <t>(Coûts fixes + média du mois) ÷ marge par abonné</t>
        </is>
      </c>
    </row>
    <row r="41">
      <c r="A41" s="40" t="inlineStr">
        <is>
          <t>Lecture (version initiale, scénario de référence)</t>
        </is>
      </c>
    </row>
    <row r="42">
      <c r="A42" s="42" t="inlineStr">
        <is>
          <t>Coûts sur 18 mois : 1 051 k€, soit 49 k€ (4,4 %) sous l'enveloppe de 1,1 M€, provision de 44 k€ comprise.</t>
        </is>
      </c>
    </row>
    <row r="43">
      <c r="A43" s="42" t="inlineStr">
        <is>
          <t>Premier poste : la flotte (450 k€, 43 % des coûts), puis les RH internes (240 k€, 23 %) et le média (168 k€, 16 %).</t>
        </is>
      </c>
    </row>
    <row r="44">
      <c r="A44" s="42" t="inlineStr">
        <is>
          <t>Revenus cumulés : 515 k€. Solde à 18 mois : − 536 k€, c'est l'investissement de lancement que finance l'enveloppe.</t>
        </is>
      </c>
    </row>
    <row r="45">
      <c r="A45" s="42" t="inlineStr">
        <is>
          <t>Exploitation positive au mois 17, location des vélos comprise. Au mois 18 : 1 200 abonnés, 1 260 vélos (600 achetés, 660 loués).</t>
        </is>
      </c>
    </row>
    <row r="46">
      <c r="A46" s="42" t="inlineStr">
        <is>
          <t>Point mort : 418 abonnés sans le vélo, 717 avec son amortissement, 658 en couvrant aussi le média du mois. Les deux derniers sont dépassés au mois 11.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70" customWidth="1" min="5" max="5"/>
  </cols>
  <sheetData>
    <row r="1">
      <c r="A1" s="60" t="inlineStr">
        <is>
          <t>Le DAF coupe 15 % (bloc 2, mise en situation)</t>
        </is>
      </c>
    </row>
    <row r="2">
      <c r="A2" s="44" t="inlineStr">
        <is>
          <t>Version 1 = budget initial, version 2 = après coupe (Hypothèses B40). Montants relevés dans l'onglet Synthèse pour chaque version.</t>
        </is>
      </c>
    </row>
    <row r="4">
      <c r="A4" s="61" t="inlineStr">
        <is>
          <t>Compartiment</t>
        </is>
      </c>
      <c r="B4" s="61" t="inlineStr">
        <is>
          <t>Version initiale (€)</t>
        </is>
      </c>
      <c r="C4" s="61" t="inlineStr">
        <is>
          <t>Après coupe (€)</t>
        </is>
      </c>
      <c r="D4" s="61" t="inlineStr">
        <is>
          <t>Écart (€)</t>
        </is>
      </c>
      <c r="E4" s="61" t="inlineStr">
        <is>
          <t>Ce que l'on perd</t>
        </is>
      </c>
    </row>
    <row r="5" ht="27" customHeight="1">
      <c r="A5" s="42" t="inlineStr">
        <is>
          <t>Flotte</t>
        </is>
      </c>
      <c r="B5" s="62" t="n">
        <v>450444</v>
      </c>
      <c r="C5" s="62" t="n">
        <v>344450</v>
      </c>
      <c r="D5" s="53">
        <f>C5-B5</f>
        <v/>
      </c>
      <c r="E5" s="63" t="inlineStr">
        <is>
          <t>400 vélos achetés au lieu de 600 et 1 060 vélos en flotte au lieu de 1 260. Mais 660 vélos loués : 16 500 € de loyers par mois après le mois 18</t>
        </is>
      </c>
    </row>
    <row r="6" ht="27" customHeight="1">
      <c r="A6" s="42" t="inlineStr">
        <is>
          <t>Plateforme et outils</t>
        </is>
      </c>
      <c r="B6" s="62" t="n">
        <v>41299</v>
      </c>
      <c r="C6" s="62" t="n">
        <v>39582</v>
      </c>
      <c r="D6" s="53">
        <f>C6-B6</f>
        <v/>
      </c>
      <c r="E6" s="63" t="inlineStr">
        <is>
          <t>Rien : la commission SaaS baisse avec les revenus</t>
        </is>
      </c>
    </row>
    <row r="7" ht="27" customHeight="1">
      <c r="A7" s="42" t="inlineStr">
        <is>
          <t>RH internes</t>
        </is>
      </c>
      <c r="B7" s="62" t="n">
        <v>240217</v>
      </c>
      <c r="C7" s="62" t="n">
        <v>226683</v>
      </c>
      <c r="D7" s="53">
        <f>C7-B7</f>
        <v/>
      </c>
      <c r="E7" s="63" t="inlineStr">
        <is>
          <t>Un seul technicien du mois 6 au mois 9, pour une flotte qui passe de 300 à plus de 500 vélos : entretien plus lent</t>
        </is>
      </c>
    </row>
    <row r="8" ht="27" customHeight="1">
      <c r="A8" s="42" t="inlineStr">
        <is>
          <t>Prestations externes</t>
        </is>
      </c>
      <c r="B8" s="62" t="n">
        <v>5200</v>
      </c>
      <c r="C8" s="62" t="n">
        <v>5200</v>
      </c>
      <c r="D8" s="53">
        <f>C8-B8</f>
        <v/>
      </c>
      <c r="E8" s="63" t="inlineStr">
        <is>
          <t>Rien : production du lancement conservée</t>
        </is>
      </c>
    </row>
    <row r="9" ht="27" customHeight="1">
      <c r="A9" s="42" t="inlineStr">
        <is>
          <t>Média et acquisition</t>
        </is>
      </c>
      <c r="B9" s="62" t="n">
        <v>168132</v>
      </c>
      <c r="C9" s="62" t="n">
        <v>136110</v>
      </c>
      <c r="D9" s="53">
        <f>C9-B9</f>
        <v/>
      </c>
      <c r="E9" s="63" t="inlineStr">
        <is>
          <t>200 abonnés de moins à recruter, contenus ramenés à 1 000 € par mois</t>
        </is>
      </c>
    </row>
    <row r="10" ht="27" customHeight="1">
      <c r="A10" s="42" t="inlineStr">
        <is>
          <t>Exploitation</t>
        </is>
      </c>
      <c r="B10" s="62" t="n">
        <v>102302</v>
      </c>
      <c r="C10" s="62" t="n">
        <v>85252</v>
      </c>
      <c r="D10" s="53">
        <f>C10-B10</f>
        <v/>
      </c>
      <c r="E10" s="63" t="inlineStr">
        <is>
          <t>Rien en soi : moins d'abonnés, donc moins d'entretien et d'assurance</t>
        </is>
      </c>
    </row>
    <row r="11" ht="27" customHeight="1">
      <c r="A11" s="42" t="inlineStr">
        <is>
          <t>Provision pour aléas</t>
        </is>
      </c>
      <c r="B11" s="62" t="n">
        <v>43679</v>
      </c>
      <c r="C11" s="62" t="n">
        <v>41879</v>
      </c>
      <c r="D11" s="53">
        <f>C11-B11</f>
        <v/>
      </c>
      <c r="E11" s="63" t="inlineStr">
        <is>
          <t>Rien : elle n'est pas coupée, elle baisse seule avec la flotte (registre des risques)</t>
        </is>
      </c>
    </row>
    <row r="12" ht="27" customHeight="1">
      <c r="A12" s="64" t="inlineStr">
        <is>
          <t>Total des coûts</t>
        </is>
      </c>
      <c r="B12" s="62" t="n">
        <v>1051273</v>
      </c>
      <c r="C12" s="62" t="n">
        <v>879157</v>
      </c>
      <c r="D12" s="53">
        <f>C12-B12</f>
        <v/>
      </c>
      <c r="E12" s="63" t="inlineStr">
        <is>
          <t>86 k€ de revenus en moins sur 18 mois (515 k€ à 429 k€), MRR de 49 000 € au mois 18 au lieu de 58 800 €</t>
        </is>
      </c>
    </row>
    <row r="13">
      <c r="A13" s="64" t="inlineStr">
        <is>
          <t>Coupe obtenue en % du budget initial</t>
        </is>
      </c>
      <c r="D13" s="54">
        <f>IF(B12=0,0,D12/B12)</f>
        <v/>
      </c>
      <c r="E13" s="65" t="inlineStr">
        <is>
          <t>Objectif du DAF : − 15 %</t>
        </is>
      </c>
    </row>
    <row r="15">
      <c r="A15" s="40" t="inlineStr">
        <is>
          <t>Leviers activés (Hypothèses lignes 64 à 67)</t>
        </is>
      </c>
    </row>
    <row r="16" ht="27" customHeight="1">
      <c r="A16" s="42" t="inlineStr">
        <is>
          <t>Objectif ramené de 1 200 à 1 000 abonnés</t>
        </is>
      </c>
      <c r="B16" s="62" t="n">
        <v>-80523</v>
      </c>
      <c r="E16" s="63" t="inlineStr">
        <is>
          <t>Le levier le plus puissant. On perd 86 k€ de revenus et 9 800 € de MRR au mois 18</t>
        </is>
      </c>
    </row>
    <row r="17" ht="27" customHeight="1">
      <c r="A17" s="42" t="inlineStr">
        <is>
          <t>Plafond d'achat ramené de 600 à 400 vélos</t>
        </is>
      </c>
      <c r="B17" s="62" t="n">
        <v>-65034</v>
      </c>
      <c r="E17" s="63" t="inlineStr">
        <is>
          <t>Du CAPEX déplacé en OPEX : sur 3 ans, un vélo loué coûte 900 € contre 600 € acheté</t>
        </is>
      </c>
    </row>
    <row r="18" ht="27" customHeight="1">
      <c r="A18" s="42" t="inlineStr">
        <is>
          <t>2e technicien embauché au mois 10 au lieu du mois 6</t>
        </is>
      </c>
      <c r="B18" s="62" t="n">
        <v>-13533</v>
      </c>
      <c r="E18" s="63" t="inlineStr">
        <is>
          <t>Entretien plus lent pendant 4 mois, risque sur le churn</t>
        </is>
      </c>
    </row>
    <row r="19" ht="27" customHeight="1">
      <c r="A19" s="42" t="inlineStr">
        <is>
          <t>Création et contenus ramenés de 1 500 à 1 000 € par mois</t>
        </is>
      </c>
      <c r="B19" s="62" t="n">
        <v>-8000</v>
      </c>
      <c r="E19" s="63" t="inlineStr">
        <is>
          <t>Moins de contenus, acquisition plus dépendante du payant</t>
        </is>
      </c>
    </row>
    <row r="20" ht="27" customHeight="1">
      <c r="A20" s="42" t="inlineStr">
        <is>
          <t>Effet croisé des leviers</t>
        </is>
      </c>
      <c r="B20" s="62" t="n">
        <v>-5023</v>
      </c>
      <c r="E20" s="63" t="inlineStr">
        <is>
          <t>Coupe combinée de 172 k€ contre 167 k€ pour la somme des leviers isolés : moins d'abonnés, donc moins de vélos loués</t>
        </is>
      </c>
    </row>
    <row r="22">
      <c r="A22" s="40" t="inlineStr">
        <is>
          <t>Réponses aux trois questions du DAF</t>
        </is>
      </c>
    </row>
    <row r="23">
      <c r="A23" s="64" t="inlineStr">
        <is>
          <t>« Pourquoi acheter la flotte plutôt que la louer ? »</t>
        </is>
      </c>
    </row>
    <row r="24">
      <c r="A24" s="42" t="inlineStr">
        <is>
          <t>Sur 3 ans, un vélo acheté coûte 600 € (16,67 € par mois), un vélo loué 900 € (36 × 25 €). On achète le socle sûr d'être utilisé 3 ans, on loue la partie incertaine, qu'on peut rendre si la montée en charge déçoit.</t>
        </is>
      </c>
    </row>
    <row r="25">
      <c r="A25" s="64" t="inlineStr">
        <is>
          <t>« Quelle ligne coupez-vous en premier, et que perd-on ? »</t>
        </is>
      </c>
    </row>
    <row r="26">
      <c r="A26" s="42" t="inlineStr">
        <is>
          <t>L'objectif d'abonnés, de 1 200 à 1 000 : 81 k€ d'économie à lui seul, sans dégrader l'économie unitaire. On perd 86 k€ de revenus sur 18 mois. On ne touche ni à la provision ni au prix d'un abonné.</t>
        </is>
      </c>
    </row>
    <row r="27">
      <c r="A27" s="64" t="inlineStr">
        <is>
          <t>« Que devient votre point mort si le churn passe à 6 % ? »</t>
        </is>
      </c>
    </row>
    <row r="28">
      <c r="A28" s="42" t="inlineStr">
        <is>
          <t>Il ne bouge pas : 418 abonnés sans le vélo, 717 avec l'amortissement, car le churn n'entre pas dans la formule. Ce qui change : il faut 119 recrues par mois au lieu de 105 pour le tenir, et la valeur d'un abonné tombe de 583 € à 389 €.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zoomScale="150" zoomScaleNormal="100" workbookViewId="0">
      <selection activeCell="G5" sqref="G5"/>
    </sheetView>
  </sheetViews>
  <sheetFormatPr baseColWidth="10" defaultColWidth="8.6640625" defaultRowHeight="15"/>
  <cols>
    <col width="6" customWidth="1" min="1" max="1"/>
    <col width="34" customWidth="1" min="2" max="2"/>
    <col width="12" customWidth="1" min="3" max="3"/>
    <col width="14" customWidth="1" min="4" max="4"/>
    <col width="12" customWidth="1" min="5" max="5"/>
    <col width="16" customWidth="1" min="6" max="8"/>
    <col width="18" customWidth="1" min="9" max="9"/>
  </cols>
  <sheetData>
    <row r="1" ht="18" customHeight="1">
      <c r="A1" s="3" t="inlineStr">
        <is>
          <t>Stress-test : trois chocs, un par un puis ensemble (bloc 4)</t>
        </is>
      </c>
    </row>
    <row r="2">
      <c r="A2" s="4" t="inlineStr">
        <is>
          <t>Objectif de 1 200 abonnés maintenu · relevez les résultats de l'onglet Synthèse pour chaque scénario</t>
        </is>
      </c>
    </row>
    <row r="4" ht="43.5" customHeight="1">
      <c r="A4" s="23" t="inlineStr">
        <is>
          <t>N°</t>
        </is>
      </c>
      <c r="B4" s="23" t="inlineStr">
        <is>
          <t>Scénario</t>
        </is>
      </c>
      <c r="C4" s="23" t="inlineStr">
        <is>
          <t>CPC (€)</t>
        </is>
      </c>
      <c r="D4" s="23" t="inlineStr">
        <is>
          <t>Mois de lancement</t>
        </is>
      </c>
      <c r="E4" s="23" t="inlineStr">
        <is>
          <t>Churn</t>
        </is>
      </c>
      <c r="F4" s="23" t="inlineStr">
        <is>
          <t>Coûts (€)</t>
        </is>
      </c>
      <c r="G4" s="23" t="inlineStr">
        <is>
          <t>Revenus (€)</t>
        </is>
      </c>
      <c r="H4" s="23" t="inlineStr">
        <is>
          <t>Solde (€)</t>
        </is>
      </c>
      <c r="I4" s="23" t="inlineStr">
        <is>
          <t>Écart de solde avec la référence (€)</t>
        </is>
      </c>
    </row>
    <row r="5">
      <c r="A5" s="13" t="n">
        <v>1</v>
      </c>
      <c r="B5" s="13" t="inlineStr">
        <is>
          <t>Référence</t>
        </is>
      </c>
      <c r="C5" s="66">
        <f>Hypothèses!$B$26</f>
        <v/>
      </c>
      <c r="D5" s="67">
        <f>Hypothèses!$B$9</f>
        <v/>
      </c>
      <c r="E5" s="68">
        <f>Hypothèses!$B$10</f>
        <v/>
      </c>
      <c r="F5" s="38" t="n">
        <v>1051273</v>
      </c>
      <c r="G5" s="38" t="n">
        <v>514927</v>
      </c>
      <c r="H5" s="21">
        <f>G5-F5</f>
        <v/>
      </c>
      <c r="I5" s="21">
        <f>H5-$H$5</f>
        <v/>
      </c>
    </row>
    <row r="6">
      <c r="A6" s="13" t="n">
        <v>2</v>
      </c>
      <c r="B6" s="13" t="inlineStr">
        <is>
          <t>CPC + 30 %</t>
        </is>
      </c>
      <c r="C6" s="16" t="n">
        <v>1.43</v>
      </c>
      <c r="D6" s="33" t="n">
        <v>4</v>
      </c>
      <c r="E6" s="15" t="n">
        <v>0.04</v>
      </c>
      <c r="F6" s="38" t="n">
        <v>1094512</v>
      </c>
      <c r="G6" s="38" t="n">
        <v>514927</v>
      </c>
      <c r="H6" s="21">
        <f>G6-F6</f>
        <v/>
      </c>
      <c r="I6" s="21">
        <f>H6-$H$5</f>
        <v/>
      </c>
    </row>
    <row r="7">
      <c r="A7" s="13" t="n">
        <v>3</v>
      </c>
      <c r="B7" s="13" t="inlineStr">
        <is>
          <t>Plateforme livrée avec 2 mois de retard</t>
        </is>
      </c>
      <c r="C7" s="16" t="n">
        <v>1.1</v>
      </c>
      <c r="D7" s="33" t="n">
        <v>6</v>
      </c>
      <c r="E7" s="15" t="n">
        <v>0.04</v>
      </c>
      <c r="F7" s="38" t="n">
        <v>1014435</v>
      </c>
      <c r="G7" s="38" t="n">
        <v>445047</v>
      </c>
      <c r="H7" s="21">
        <f>G7-F7</f>
        <v/>
      </c>
      <c r="I7" s="21">
        <f>H7-$H$5</f>
        <v/>
      </c>
    </row>
    <row r="8">
      <c r="A8" s="13" t="n">
        <v>4</v>
      </c>
      <c r="B8" s="13" t="inlineStr">
        <is>
          <t>Churn à 6 %</t>
        </is>
      </c>
      <c r="C8" s="16" t="n">
        <v>1.1</v>
      </c>
      <c r="D8" s="33" t="n">
        <v>4</v>
      </c>
      <c r="E8" s="15" t="n">
        <v>0.06</v>
      </c>
      <c r="F8" s="38" t="n">
        <v>1083243</v>
      </c>
      <c r="G8" s="38" t="n">
        <v>537355</v>
      </c>
      <c r="H8" s="21">
        <f>G8-F8</f>
        <v/>
      </c>
      <c r="I8" s="21">
        <f>H8-$H$5</f>
        <v/>
      </c>
    </row>
    <row r="9">
      <c r="A9" s="13" t="n">
        <v>5</v>
      </c>
      <c r="B9" s="13" t="inlineStr">
        <is>
          <t>Les trois chocs ensemble</t>
        </is>
      </c>
      <c r="C9" s="16" t="n">
        <v>1.43</v>
      </c>
      <c r="D9" s="33" t="n">
        <v>6</v>
      </c>
      <c r="E9" s="15" t="n">
        <v>0.06</v>
      </c>
      <c r="F9" s="38" t="n">
        <v>1086990</v>
      </c>
      <c r="G9" s="38" t="n">
        <v>461992</v>
      </c>
      <c r="H9" s="21">
        <f>G9-F9</f>
        <v/>
      </c>
      <c r="I9" s="21">
        <f>H9-$H$5</f>
        <v/>
      </c>
    </row>
    <row r="11">
      <c r="A11" s="42" t="inlineStr">
        <is>
          <t>Méthode : la cellule « scénario actif » (Hypothèses B39) pilote le CPC, le mois de lancement et le churn. Coûts et revenus relevés dans l'onglet Synthèse pour chaque valeur de 1 à 5, puis B39 remis à 1.</t>
        </is>
      </c>
    </row>
    <row r="12">
      <c r="A12" s="4" t="inlineStr">
        <is>
          <t>Si votre budget contient des chiffres saisis en dur, cet exercice vous oblige à le reconstruire : c'est la raison de la règle du bloc 2.</t>
        </is>
      </c>
    </row>
    <row r="14">
      <c r="A14" s="64" t="inlineStr">
        <is>
          <t>Hypothèse la plus sensible : le CPC. + 30 % de CPC dégrade le solde de 43 k€, contre 33 k€ pour 2 mois de retard et 10 k€ pour un churn à 6 %.</t>
        </is>
      </c>
    </row>
    <row r="15">
      <c r="A15" s="42" t="inlineStr">
        <is>
          <t>Le churn pèse peu sur 18 mois : pour tenir 1 200 abonnés on recrute 119 abonnés par mois au lieu de 105, ce qui coûte en média mais rapporte aussi plus tôt.</t>
        </is>
      </c>
    </row>
    <row r="16">
      <c r="A16" s="42" t="inlineStr">
        <is>
          <t>Son vrai coût arrive après le mois 18 : durée de vie de 16,7 mois au lieu de 25, ratio LTV ÷ CAC de 4,2 au lieu de 6,4 (marge après vélo).</t>
        </is>
      </c>
    </row>
    <row r="17">
      <c r="A17" s="42" t="inlineStr">
        <is>
          <t>Les trois chocs ensemble dégradent le solde de 89 k€. Les coûts (1 087 k€) restent sous l'enveloppe à 13 k€ près, et l'exploitation n'est jamais positive dans l'horizon.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topLeftCell="B1" zoomScale="221" zoomScaleNormal="100" workbookViewId="0">
      <selection activeCell="A1" sqref="A1"/>
    </sheetView>
  </sheetViews>
  <sheetFormatPr baseColWidth="10" defaultColWidth="8.6640625" defaultRowHeight="15"/>
  <cols>
    <col width="46" customWidth="1" min="1" max="1"/>
    <col width="14" customWidth="1" min="2" max="2"/>
    <col width="16" customWidth="1" min="3" max="3"/>
    <col width="18" customWidth="1" min="4" max="4"/>
    <col width="60" customWidth="1" min="5" max="5"/>
  </cols>
  <sheetData>
    <row r="1" ht="18" customHeight="1">
      <c r="A1" s="3" t="inlineStr">
        <is>
          <t>Registre des risques et provision (bloc 4)</t>
        </is>
      </c>
    </row>
    <row r="2">
      <c r="A2" s="4" t="inlineStr">
        <is>
          <t>Valeur attendue = probabilité × impact · l'impact se calcule dans le tableur, il ne s'estime pas au jugé</t>
        </is>
      </c>
    </row>
    <row r="4">
      <c r="A4" s="23" t="inlineStr">
        <is>
          <t>Risque</t>
        </is>
      </c>
      <c r="B4" s="23" t="inlineStr">
        <is>
          <t>Probabilité</t>
        </is>
      </c>
      <c r="C4" s="23" t="inlineStr">
        <is>
          <t>Impact (€)</t>
        </is>
      </c>
      <c r="D4" s="23" t="inlineStr">
        <is>
          <t>Valeur attendue (€)</t>
        </is>
      </c>
      <c r="E4" s="23" t="inlineStr">
        <is>
          <t>Comment l'impact est calculé, réponse prévue</t>
        </is>
      </c>
    </row>
    <row r="5" ht="27" customHeight="1">
      <c r="A5" s="69" t="inlineStr">
        <is>
          <t>Vols et casse au-delà de la réserve : 5 % de la flotte à remplacer</t>
        </is>
      </c>
      <c r="B5" s="50" t="n">
        <v>0.3</v>
      </c>
      <c r="C5" s="45">
        <f>'Budget mensualisé'!$V$9*5%*Hypothèses!$B$11</f>
        <v/>
      </c>
      <c r="D5" s="21">
        <f>B5*C5</f>
        <v/>
      </c>
      <c r="E5" s="56" t="inlineStr">
        <is>
          <t>Flotte du mois 18 × 5 % × 600 €. Réponse : antivols connectés, franchise d'assurance, suivi des vélos</t>
        </is>
      </c>
    </row>
    <row r="6" ht="27" customHeight="1">
      <c r="A6" s="69" t="inlineStr">
        <is>
          <t>CPC en hausse de 30 %</t>
        </is>
      </c>
      <c r="B6" s="50" t="n">
        <v>0.4</v>
      </c>
      <c r="C6" s="45">
        <f>-Scénarios!$I$6</f>
        <v/>
      </c>
      <c r="D6" s="21">
        <f>B6*C6</f>
        <v/>
      </c>
      <c r="E6" s="56" t="inlineStr">
        <is>
          <t>Perte de solde du scénario 2 (onglet Scénarios). Réponse : référencement naturel, parrainage, coupe des mots-clés les plus chers</t>
        </is>
      </c>
    </row>
    <row r="7" ht="27" customHeight="1">
      <c r="A7" s="69" t="inlineStr">
        <is>
          <t>Plateforme livrée avec 2 mois de retard</t>
        </is>
      </c>
      <c r="B7" s="50" t="n">
        <v>0.25</v>
      </c>
      <c r="C7" s="45">
        <f>-Scénarios!$I$7</f>
        <v/>
      </c>
      <c r="D7" s="21">
        <f>B7*C7</f>
        <v/>
      </c>
      <c r="E7" s="56" t="inlineStr">
        <is>
          <t>Perte de solde du scénario 3. Réponse : SaaS déjà éprouvé, recette dès le mois 2, pénalités de retard au contrat</t>
        </is>
      </c>
    </row>
    <row r="8" ht="27" customHeight="1">
      <c r="A8" s="69" t="inlineStr">
        <is>
          <t>Churn à 6 %</t>
        </is>
      </c>
      <c r="B8" s="50" t="n">
        <v>0.2</v>
      </c>
      <c r="C8" s="45">
        <f>-Scénarios!$I$8</f>
        <v/>
      </c>
      <c r="D8" s="21">
        <f>B8*C8</f>
        <v/>
      </c>
      <c r="E8" s="56" t="inlineStr">
        <is>
          <t>Perte de solde du scénario 4. Réponse : enquête de sortie, offre d'engagement à 12 mois, entretien proactif</t>
        </is>
      </c>
    </row>
    <row r="9" ht="27" customHeight="1">
      <c r="A9" s="69" t="inlineStr">
        <is>
          <t>Intégration du SaaS sous-estimée : 15 jours-homme d'agence</t>
        </is>
      </c>
      <c r="B9" s="50" t="n">
        <v>0.5</v>
      </c>
      <c r="C9" s="45">
        <f>15*Hypothèses!$B$15</f>
        <v/>
      </c>
      <c r="D9" s="21">
        <f>B9*C9</f>
        <v/>
      </c>
      <c r="E9" s="56" t="inlineStr">
        <is>
          <t>15 j × 650 €. Réponse : cadrer le paramétrage avec l'éditeur avant de signer</t>
        </is>
      </c>
    </row>
    <row r="10">
      <c r="A10" s="6" t="inlineStr">
        <is>
          <t>Provision = somme des valeurs attendues</t>
        </is>
      </c>
      <c r="D10" s="27">
        <f>SUM(D5:D9)</f>
        <v/>
      </c>
    </row>
    <row r="11">
      <c r="A11" s="13" t="inlineStr">
        <is>
          <t>Provision en % du total des coûts</t>
        </is>
      </c>
      <c r="D11" s="32">
        <f>IF(Synthèse!B12=0,0,D10/Synthèse!B12)</f>
        <v/>
      </c>
    </row>
    <row r="13">
      <c r="A13" s="4" t="inlineStr">
        <is>
          <t>Limite : la valeur attendue est une moyenne. Si un risque se réalise, il coûte son impact entier, pas sa valeur attendue.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81"/>
  <sheetViews>
    <sheetView topLeftCell="A36" zoomScale="182" zoomScaleNormal="100" workbookViewId="0">
      <selection activeCell="C52" sqref="C52"/>
    </sheetView>
  </sheetViews>
  <sheetFormatPr baseColWidth="10" defaultColWidth="8.6640625" defaultRowHeight="15"/>
  <cols>
    <col width="52" customWidth="1" min="1" max="1"/>
    <col width="18" customWidth="1" min="2" max="3"/>
    <col width="13" customWidth="1" min="3" max="3"/>
    <col width="16" customWidth="1" min="4" max="4"/>
    <col width="12" customWidth="1" min="5" max="5"/>
    <col width="52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</cols>
  <sheetData>
    <row r="1" ht="18" customHeight="1">
      <c r="A1" s="3" t="inlineStr">
        <is>
          <t>Comité de pilotage du mois 9 (bloc 4)</t>
        </is>
      </c>
    </row>
    <row r="2">
      <c r="A2" s="4" t="inlineStr">
        <is>
          <t>Écarts, décomposition prix et volume, coût à terminaison</t>
        </is>
      </c>
    </row>
    <row r="4">
      <c r="A4" s="12" t="inlineStr">
        <is>
          <t>Fiche de situation</t>
        </is>
      </c>
      <c r="B4" s="12" t="n"/>
      <c r="C4" s="12" t="n"/>
      <c r="D4" s="12" t="n"/>
      <c r="E4" s="12" t="n"/>
      <c r="F4" s="12" t="n"/>
    </row>
    <row r="5">
      <c r="A5" s="13" t="inlineStr">
        <is>
          <t>Abonnés actifs : écart avec le plan</t>
        </is>
      </c>
      <c r="B5" s="15" t="n">
        <v>-0.17</v>
      </c>
    </row>
    <row r="6">
      <c r="A6" s="13" t="inlineStr">
        <is>
          <t>Dépenses cumulées : écart avec le plan</t>
        </is>
      </c>
      <c r="B6" s="15" t="n">
        <v>0.09</v>
      </c>
    </row>
    <row r="7">
      <c r="A7" s="13" t="inlineStr">
        <is>
          <t>CPC réel</t>
        </is>
      </c>
      <c r="B7" s="16" t="n">
        <v>1.35</v>
      </c>
    </row>
    <row r="8">
      <c r="A8" s="13" t="inlineStr">
        <is>
          <t>Churn observé</t>
        </is>
      </c>
      <c r="B8" s="15" t="n">
        <v>0.05</v>
      </c>
    </row>
    <row r="9">
      <c r="A9" s="13" t="inlineStr">
        <is>
          <t>Retard de la plateforme (mois)</t>
        </is>
      </c>
      <c r="B9" s="33" t="n">
        <v>1</v>
      </c>
    </row>
    <row r="10">
      <c r="A10" s="13" t="inlineStr">
        <is>
          <t>Jours-homme supplémentaires sur la plateforme</t>
        </is>
      </c>
      <c r="B10" s="33" t="n">
        <v>12</v>
      </c>
    </row>
    <row r="12">
      <c r="A12" s="12" t="inlineStr">
        <is>
          <t>1. Plan et réel au mois 9</t>
        </is>
      </c>
      <c r="B12" s="12" t="n"/>
      <c r="C12" s="12" t="n"/>
      <c r="D12" s="12" t="n"/>
      <c r="E12" s="12" t="n"/>
      <c r="F12" s="12" t="n"/>
    </row>
    <row r="13" ht="28" customHeight="1">
      <c r="A13" s="23" t="inlineStr">
        <is>
          <t>Poste</t>
        </is>
      </c>
      <c r="B13" s="23" t="inlineStr">
        <is>
          <t>Plan cumulé à M9 (€)</t>
        </is>
      </c>
      <c r="C13" s="23" t="inlineStr">
        <is>
          <t>Réel cumulé à M9 (€)</t>
        </is>
      </c>
      <c r="D13" s="23" t="inlineStr">
        <is>
          <t>Écart (€)</t>
        </is>
      </c>
      <c r="E13" s="23" t="inlineStr">
        <is>
          <t>Écart (%)</t>
        </is>
      </c>
      <c r="F13" s="23" t="inlineStr">
        <is>
          <t>Explication</t>
        </is>
      </c>
    </row>
    <row r="14" ht="40" customHeight="1">
      <c r="A14" s="13" t="inlineStr">
        <is>
          <t>Flotte</t>
        </is>
      </c>
      <c r="B14" s="29">
        <f>SUM('Budget mensualisé'!E18:M18)</f>
        <v/>
      </c>
      <c r="C14" s="45">
        <f>SUM(B74:J74)</f>
        <v/>
      </c>
      <c r="D14" s="21">
        <f>C14-B14</f>
        <v/>
      </c>
      <c r="E14" s="32">
        <f>IF(B14=0,0,D14/B14)</f>
        <v/>
      </c>
      <c r="F14" s="56" t="inlineStr">
        <is>
          <t>533 vélos achetés au lieu de 600 : lancement décalé d'un mois et 17 % d'abonnés en moins</t>
        </is>
      </c>
    </row>
    <row r="15" ht="40" customHeight="1">
      <c r="A15" s="13" t="inlineStr">
        <is>
          <t>Plateforme et outils</t>
        </is>
      </c>
      <c r="B15" s="29">
        <f>SUM('Budget mensualisé'!E25:M25)</f>
        <v/>
      </c>
      <c r="C15" s="45">
        <f>SUM(B75:J75)</f>
        <v/>
      </c>
      <c r="D15" s="21">
        <f>C15-B15</f>
        <v/>
      </c>
      <c r="E15" s="32">
        <f>IF(B15=0,0,D15/B15)</f>
        <v/>
      </c>
      <c r="F15" s="56" t="inlineStr">
        <is>
          <t>12 jours-homme d'agence en plus (7 800 €), commission SaaS un peu plus faible faute de revenus</t>
        </is>
      </c>
    </row>
    <row r="16" ht="40" customHeight="1">
      <c r="A16" s="13" t="inlineStr">
        <is>
          <t>RH internes</t>
        </is>
      </c>
      <c r="B16" s="29">
        <f>SUM('Budget mensualisé'!E30:M30)</f>
        <v/>
      </c>
      <c r="C16" s="45">
        <f>SUM(B76:J76)</f>
        <v/>
      </c>
      <c r="D16" s="21">
        <f>C16-B16</f>
        <v/>
      </c>
      <c r="E16" s="32">
        <f>IF(B16=0,0,D16/B16)</f>
        <v/>
      </c>
      <c r="F16" s="56" t="inlineStr">
        <is>
          <t>Équipe recrutée comme prévu</t>
        </is>
      </c>
    </row>
    <row r="17" ht="40" customHeight="1">
      <c r="A17" s="13" t="inlineStr">
        <is>
          <t>Prestations externes</t>
        </is>
      </c>
      <c r="B17" s="29">
        <f>SUM('Budget mensualisé'!E33:M33)</f>
        <v/>
      </c>
      <c r="C17" s="45">
        <f>SUM(B79:J79)</f>
        <v/>
      </c>
      <c r="D17" s="21">
        <f>C17-B17</f>
        <v/>
      </c>
      <c r="E17" s="32">
        <f>IF(B17=0,0,D17/B17)</f>
        <v/>
      </c>
      <c r="F17" s="56" t="inlineStr">
        <is>
          <t>Production du lancement facturée comme prévu</t>
        </is>
      </c>
    </row>
    <row r="18" ht="40" customHeight="1">
      <c r="A18" s="13" t="inlineStr">
        <is>
          <t>Média et acquisition</t>
        </is>
      </c>
      <c r="B18" s="29">
        <f>SUM('Budget mensualisé'!E37:M37)</f>
        <v/>
      </c>
      <c r="C18" s="45">
        <f>SUM(B77:J77)</f>
        <v/>
      </c>
      <c r="D18" s="21">
        <f>C18-B18</f>
        <v/>
      </c>
      <c r="E18" s="32">
        <f>IF(B18=0,0,D18/B18)</f>
        <v/>
      </c>
      <c r="F18" s="56" t="inlineStr">
        <is>
          <t>Effet prix + 10,9 k€ (clic à 1,35 € au lieu de 1,10 €), effet volume − 9,8 k€ (moins d'abonnés recrutés)</t>
        </is>
      </c>
    </row>
    <row r="19" ht="40" customHeight="1">
      <c r="A19" s="13" t="inlineStr">
        <is>
          <t>Exploitation</t>
        </is>
      </c>
      <c r="B19" s="29">
        <f>SUM('Budget mensualisé'!E41:M41)</f>
        <v/>
      </c>
      <c r="C19" s="45">
        <f>SUM(B78:J78)</f>
        <v/>
      </c>
      <c r="D19" s="21">
        <f>C19-B19</f>
        <v/>
      </c>
      <c r="E19" s="32">
        <f>IF(B19=0,0,D19/B19)</f>
        <v/>
      </c>
      <c r="F19" s="56" t="inlineStr">
        <is>
          <t>Moins d'abonnés actifs : moins d'entretien, d'assurance et de frais de paiement</t>
        </is>
      </c>
    </row>
    <row r="20">
      <c r="A20" s="6" t="inlineStr">
        <is>
          <t>Total</t>
        </is>
      </c>
      <c r="B20" s="27">
        <f>SUM(B14:B19)</f>
        <v/>
      </c>
      <c r="C20" s="27">
        <f>B20*(1+B6)</f>
        <v/>
      </c>
      <c r="D20" s="27">
        <f>C20-B20</f>
        <v/>
      </c>
      <c r="E20" s="32">
        <f>IF(B20=0,0,D20/B20)</f>
        <v/>
      </c>
      <c r="F20" s="4" t="inlineStr">
        <is>
          <t>Réel total = plan × (1 + écart de la fiche)</t>
        </is>
      </c>
    </row>
    <row r="21" ht="40" customHeight="1">
      <c r="A21" s="13" t="inlineStr">
        <is>
          <t>Écart non expliqué (total − somme des postes)</t>
        </is>
      </c>
      <c r="D21" s="21">
        <f>D20-SUM(D14:D19)</f>
        <v/>
      </c>
      <c r="F21" s="56" t="inlineStr">
        <is>
          <t>À faire justifier en comité : les hypothèses de la fiche expliquent une baisse de 39 k€, pas une hausse de 9 %. Pistes : vélos commandés sur le plan, factures hors périmètre, engagements anticipés</t>
        </is>
      </c>
    </row>
    <row r="22">
      <c r="A22" s="13" t="inlineStr">
        <is>
          <t>Abonnés actifs</t>
        </is>
      </c>
      <c r="B22" s="29">
        <f>'Budget mensualisé'!M8</f>
        <v/>
      </c>
      <c r="C22" s="21">
        <f>B22*(1+B5)</f>
        <v/>
      </c>
      <c r="D22" s="21">
        <f>C22-B22</f>
        <v/>
      </c>
    </row>
    <row r="24">
      <c r="A24" s="12" t="inlineStr">
        <is>
          <t>2. Média : effet prix et effet volume</t>
        </is>
      </c>
      <c r="B24" s="12" t="n"/>
      <c r="C24" s="12" t="n"/>
      <c r="D24" s="12" t="n"/>
      <c r="E24" s="12" t="n"/>
      <c r="F24" s="12" t="n"/>
    </row>
    <row r="25">
      <c r="A25" s="13" t="inlineStr">
        <is>
          <t>Clics prévus (acquisitions prévues ÷ conversion)</t>
        </is>
      </c>
      <c r="B25" s="45">
        <f>SUM('Budget mensualisé'!E6:M6)/Hypothèses!$B$27</f>
        <v/>
      </c>
    </row>
    <row r="26">
      <c r="A26" s="13" t="inlineStr">
        <is>
          <t>CPC prévu</t>
        </is>
      </c>
      <c r="B26" s="70">
        <f>Hypothèses!$B$70</f>
        <v/>
      </c>
    </row>
    <row r="27">
      <c r="A27" s="13" t="inlineStr">
        <is>
          <t>Clics réels (acquisitions réelles ÷ conversion)</t>
        </is>
      </c>
      <c r="B27" s="45">
        <f>SUM(B70:J70)/Hypothèses!$B$27</f>
        <v/>
      </c>
    </row>
    <row r="28">
      <c r="A28" s="13" t="inlineStr">
        <is>
          <t>CPC réel</t>
        </is>
      </c>
      <c r="B28" s="70">
        <f>$B$7</f>
        <v/>
      </c>
    </row>
    <row r="29">
      <c r="A29" s="13" t="inlineStr">
        <is>
          <t>Effet prix = (CPC réel − CPC prévu) × clics réels</t>
        </is>
      </c>
      <c r="B29" s="45">
        <f>(B28-B26)*B27</f>
        <v/>
      </c>
    </row>
    <row r="30">
      <c r="A30" s="13" t="inlineStr">
        <is>
          <t>Effet volume = (clics réels − clics prévus) × CPC prévu</t>
        </is>
      </c>
      <c r="B30" s="45">
        <f>(B27-B25)*B26</f>
        <v/>
      </c>
    </row>
    <row r="31">
      <c r="A31" s="13" t="inlineStr">
        <is>
          <t>Écart total du média = effet prix + effet volume</t>
        </is>
      </c>
      <c r="B31" s="45">
        <f>B29+B30</f>
        <v/>
      </c>
      <c r="C31" s="53">
        <f>D18-B31</f>
        <v/>
      </c>
      <c r="F31" s="44" t="inlineStr">
        <is>
          <t>Contrôle en C31 : écart du poste média − (effet prix + effet volume), doit valoir 0</t>
        </is>
      </c>
    </row>
    <row r="33">
      <c r="A33" s="12" t="inlineStr">
        <is>
          <t>3. Coût à terminaison</t>
        </is>
      </c>
      <c r="B33" s="12" t="n"/>
      <c r="C33" s="12" t="n"/>
      <c r="D33" s="12" t="n"/>
      <c r="E33" s="12" t="n"/>
      <c r="F33" s="12" t="n"/>
    </row>
    <row r="34" ht="42" customHeight="1">
      <c r="A34" s="23" t="inlineStr">
        <is>
          <t>Poste</t>
        </is>
      </c>
      <c r="B34" s="23" t="inlineStr">
        <is>
          <t>Reste à faire réestimé, mois 10 à 18 (€)</t>
        </is>
      </c>
      <c r="F34" s="23" t="inlineStr">
        <is>
          <t>Calcul</t>
        </is>
      </c>
    </row>
    <row r="35">
      <c r="A35" s="13" t="inlineStr">
        <is>
          <t>Flotte</t>
        </is>
      </c>
      <c r="B35" s="45">
        <f>SUM(K74:S74)</f>
        <v/>
      </c>
      <c r="F35" s="69" t="inlineStr">
        <is>
          <t>Flotte réestimée : actifs + réserve, achat jusqu'au plafond puis location</t>
        </is>
      </c>
    </row>
    <row r="36">
      <c r="A36" s="13" t="inlineStr">
        <is>
          <t>Média et acquisition</t>
        </is>
      </c>
      <c r="B36" s="45">
        <f>SUM(K77:S77)</f>
        <v/>
      </c>
      <c r="F36" s="69" t="inlineStr">
        <is>
          <t>Nouveaux abonnés réestimés × CAC réel (1,35 € ÷ 1,2 %) + création</t>
        </is>
      </c>
    </row>
    <row r="37">
      <c r="A37" s="13" t="inlineStr">
        <is>
          <t>RH internes</t>
        </is>
      </c>
      <c r="B37" s="45">
        <f>SUM(K76:S76)</f>
        <v/>
      </c>
      <c r="F37" s="69" t="inlineStr">
        <is>
          <t>Inchangé : équipe du plan</t>
        </is>
      </c>
    </row>
    <row r="38">
      <c r="A38" s="13" t="inlineStr">
        <is>
          <t>Exploitation</t>
        </is>
      </c>
      <c r="B38" s="45">
        <f>SUM(K78:S78)</f>
        <v/>
      </c>
      <c r="F38" s="69" t="inlineStr">
        <is>
          <t>Actifs réestimés × 9 € + frais de paiement</t>
        </is>
      </c>
    </row>
    <row r="39">
      <c r="A39" s="13" t="inlineStr">
        <is>
          <t>Plateforme et outils</t>
        </is>
      </c>
      <c r="B39" s="45">
        <f>SUM(K75:S75)</f>
        <v/>
      </c>
      <c r="F39" s="69" t="inlineStr">
        <is>
          <t>SaaS fixe + 2 % du chiffre d'affaires réestimé + outils</t>
        </is>
      </c>
    </row>
    <row r="40">
      <c r="A40" s="6" t="inlineStr">
        <is>
          <t>Reste à faire</t>
        </is>
      </c>
      <c r="B40" s="27">
        <f>SUM(B35:B39)</f>
        <v/>
      </c>
    </row>
    <row r="41">
      <c r="A41" s="13" t="inlineStr">
        <is>
          <t>Dépensé à date</t>
        </is>
      </c>
      <c r="B41" s="21">
        <f>C20</f>
        <v/>
      </c>
    </row>
    <row r="42">
      <c r="A42" s="6" t="inlineStr">
        <is>
          <t>Coût à terminaison = dépensé + reste à faire</t>
        </is>
      </c>
      <c r="B42" s="27">
        <f>B41+B40</f>
        <v/>
      </c>
    </row>
    <row r="43">
      <c r="A43" s="13" t="inlineStr">
        <is>
          <t>Budget initial</t>
        </is>
      </c>
      <c r="B43" s="29">
        <f>Synthèse!B12</f>
        <v/>
      </c>
    </row>
    <row r="44">
      <c r="A44" s="13" t="inlineStr">
        <is>
          <t>Écart à terminaison (€)</t>
        </is>
      </c>
      <c r="B44" s="21">
        <f>B42-B43</f>
        <v/>
      </c>
    </row>
    <row r="45">
      <c r="A45" s="13" t="inlineStr">
        <is>
          <t>Écart à terminaison (%)</t>
        </is>
      </c>
      <c r="B45" s="32">
        <f>IF(B43=0,0,B44/B43)</f>
        <v/>
      </c>
    </row>
    <row r="46">
      <c r="A46" s="13" t="inlineStr">
        <is>
          <t>Erreur classique : budget − dépensé</t>
        </is>
      </c>
      <c r="B46" s="21">
        <f>B43-B41</f>
        <v/>
      </c>
      <c r="F46" s="4" t="inlineStr">
        <is>
          <t>Ce montant « disponible » ne dit rien de ce qu'il reste réellement à payer</t>
        </is>
      </c>
    </row>
    <row r="48">
      <c r="A48" s="4" t="inlineStr">
        <is>
          <t>Le reste à faire se recalcule avec les hypothèses observées (CPC réel, churn observé), pas avec celles du budget initial.</t>
        </is>
      </c>
    </row>
    <row r="50">
      <c r="A50" s="40" t="inlineStr">
        <is>
          <t>4. Arbitrage et recommandation</t>
        </is>
      </c>
    </row>
    <row r="51">
      <c r="A51" s="42" t="inlineStr">
        <is>
          <t>Coût à terminaison : 1 126 k€, soit 74 k€ au-dessus du budget et 26 k€ au-dessus de l'enveloppe. La provision de 44 k€ est déjà absorbée.</t>
        </is>
      </c>
    </row>
    <row r="52">
      <c r="A52" s="42" t="inlineStr">
        <is>
          <t>Erreur à éviter : « 1 051 − 626 = 425 k€ disponibles ». Le reste à faire réestimé est de 499 k€ : il manque 74 k€.</t>
        </is>
      </c>
    </row>
    <row r="53">
      <c r="A53" s="42" t="inlineStr">
        <is>
          <t>Option périmètre : viser 1 100 abonnés au mois 18 (B68 = 1 100). Coût à terminaison 1 093 k€, 7 k€ sous l'enveloppe. On perd 100 abonnés et 26 k€ de revenus.</t>
        </is>
      </c>
    </row>
    <row r="54">
      <c r="A54" s="42" t="inlineStr">
        <is>
          <t>Option délai : garder la cadence actuelle de 104 abonnés par mois. 1 070 abonnés au mois 18, 1 200 au mois 21. Coût à terminaison 1 083 k€, 17 k€ sous l'enveloppe. On perd 34 k€ de revenus sur l'horizon.</t>
        </is>
      </c>
    </row>
    <row r="55">
      <c r="A55" s="42" t="inlineStr">
        <is>
          <t>Option coût : tenir 1 200 abonnés au mois 18 en recrutant 122 abonnés par mois à 112,50 € l'unité. Rallonge de 26 k€, sans aucune provision restante.</t>
        </is>
      </c>
    </row>
    <row r="56">
      <c r="A56" s="64" t="inlineStr">
        <is>
          <t>Recommandation : l'option délai. On garde l'objectif de 1 200 abonnés, décalé de 3 mois, on ne surenchérit pas sur un clic devenu plus cher, et l'enveloppe tient.</t>
        </is>
      </c>
    </row>
    <row r="57">
      <c r="A57" s="42" t="inlineStr">
        <is>
          <t>Ce qui est abandonné : les 1 200 abonnés au mois 18. Préalable au prochain comité : justifier les 90 k€ d'écart non expliqué ; s'il s'agit de vélos déjà commandés, le reste à faire baisse d'autant.</t>
        </is>
      </c>
    </row>
    <row r="61">
      <c r="A61" s="40" t="inlineStr">
        <is>
          <t>Annexe : réel reconstitué (mois 1 à 9) et reste à faire réestimé (mois 10 à 18)</t>
        </is>
      </c>
    </row>
    <row r="62">
      <c r="A62" s="42" t="inlineStr">
        <is>
          <t>Mois de lancement réel (plan + retard)</t>
        </is>
      </c>
      <c r="B62" s="71">
        <f>Hypothèses!$B$71+$B$9</f>
        <v/>
      </c>
    </row>
    <row r="63">
      <c r="A63" s="42" t="inlineStr">
        <is>
          <t>Abonnés actifs réels au mois 9</t>
        </is>
      </c>
      <c r="B63" s="59">
        <f>$C$22</f>
        <v/>
      </c>
    </row>
    <row r="64">
      <c r="A64" s="42" t="inlineStr">
        <is>
          <t>Mois commerciaux réalisés au mois 9</t>
        </is>
      </c>
      <c r="B64" s="71">
        <f>9-$B$62+1</f>
        <v/>
      </c>
    </row>
    <row r="65">
      <c r="A65" s="42" t="inlineStr">
        <is>
          <t>Nouveaux abonnés par mois, réel (lancement à mois 9)</t>
        </is>
      </c>
      <c r="B65" s="57">
        <f>$B$63*$B$8/(1-(1-$B$8)^$B$64)</f>
        <v/>
      </c>
    </row>
    <row r="66">
      <c r="A66" s="42" t="inlineStr">
        <is>
          <t>Nouveaux abonnés par mois, réestimés (mois 10 à 18) pour tenir l'objectif</t>
        </is>
      </c>
      <c r="B66" s="57">
        <f>($B$68-$B$63*(1-$B$8)^(Hypothèses!$B$8-9))*$B$8/(1-(1-$B$8)^(Hypothèses!$B$8-9))</f>
        <v/>
      </c>
    </row>
    <row r="67">
      <c r="A67" s="42" t="inlineStr">
        <is>
          <t>CAC réel (CPC réel ÷ conversion)</t>
        </is>
      </c>
      <c r="B67" s="52">
        <f>$B$7/Hypothèses!$B$27</f>
        <v/>
      </c>
    </row>
    <row r="68">
      <c r="A68" s="42" t="inlineStr">
        <is>
          <t>Objectif retenu au mois 18 pour le reste à faire</t>
        </is>
      </c>
      <c r="B68" s="59">
        <f>Hypothèses!$B$73</f>
        <v/>
      </c>
      <c r="C68" s="44" t="inlineStr">
        <is>
          <t>Objectif du budget par défaut : saisir une autre valeur pour chiffrer une option d'arbitrage</t>
        </is>
      </c>
    </row>
    <row r="69">
      <c r="A69" s="44" t="inlineStr">
        <is>
          <t>Mois n°</t>
        </is>
      </c>
      <c r="B69" s="72" t="n">
        <v>1</v>
      </c>
      <c r="C69" s="72" t="n">
        <v>2</v>
      </c>
      <c r="D69" s="72" t="n">
        <v>3</v>
      </c>
      <c r="E69" s="72" t="n">
        <v>4</v>
      </c>
      <c r="F69" s="72" t="n">
        <v>5</v>
      </c>
      <c r="G69" s="72" t="n">
        <v>6</v>
      </c>
      <c r="H69" s="72" t="n">
        <v>7</v>
      </c>
      <c r="I69" s="72" t="n">
        <v>8</v>
      </c>
      <c r="J69" s="72" t="n">
        <v>9</v>
      </c>
      <c r="K69" s="72" t="n">
        <v>10</v>
      </c>
      <c r="L69" s="72" t="n">
        <v>11</v>
      </c>
      <c r="M69" s="72" t="n">
        <v>12</v>
      </c>
      <c r="N69" s="72" t="n">
        <v>13</v>
      </c>
      <c r="O69" s="72" t="n">
        <v>14</v>
      </c>
      <c r="P69" s="72" t="n">
        <v>15</v>
      </c>
      <c r="Q69" s="72" t="n">
        <v>16</v>
      </c>
      <c r="R69" s="72" t="n">
        <v>17</v>
      </c>
      <c r="S69" s="72" t="n">
        <v>18</v>
      </c>
    </row>
    <row r="70">
      <c r="A70" s="42" t="inlineStr">
        <is>
          <t>Nouveaux abonnés</t>
        </is>
      </c>
      <c r="B70" s="57">
        <f>IF(B$69&lt;$B$62,0,IF(B$69&lt;=9,$B$65,$B$66))</f>
        <v/>
      </c>
      <c r="C70" s="57">
        <f>IF(C$69&lt;$B$62,0,IF(C$69&lt;=9,$B$65,$B$66))</f>
        <v/>
      </c>
      <c r="D70" s="57">
        <f>IF(D$69&lt;$B$62,0,IF(D$69&lt;=9,$B$65,$B$66))</f>
        <v/>
      </c>
      <c r="E70" s="57">
        <f>IF(E$69&lt;$B$62,0,IF(E$69&lt;=9,$B$65,$B$66))</f>
        <v/>
      </c>
      <c r="F70" s="57">
        <f>IF(F$69&lt;$B$62,0,IF(F$69&lt;=9,$B$65,$B$66))</f>
        <v/>
      </c>
      <c r="G70" s="57">
        <f>IF(G$69&lt;$B$62,0,IF(G$69&lt;=9,$B$65,$B$66))</f>
        <v/>
      </c>
      <c r="H70" s="57">
        <f>IF(H$69&lt;$B$62,0,IF(H$69&lt;=9,$B$65,$B$66))</f>
        <v/>
      </c>
      <c r="I70" s="57">
        <f>IF(I$69&lt;$B$62,0,IF(I$69&lt;=9,$B$65,$B$66))</f>
        <v/>
      </c>
      <c r="J70" s="57">
        <f>IF(J$69&lt;$B$62,0,IF(J$69&lt;=9,$B$65,$B$66))</f>
        <v/>
      </c>
      <c r="K70" s="57">
        <f>IF(K$69&lt;$B$62,0,IF(K$69&lt;=9,$B$65,$B$66))</f>
        <v/>
      </c>
      <c r="L70" s="57">
        <f>IF(L$69&lt;$B$62,0,IF(L$69&lt;=9,$B$65,$B$66))</f>
        <v/>
      </c>
      <c r="M70" s="57">
        <f>IF(M$69&lt;$B$62,0,IF(M$69&lt;=9,$B$65,$B$66))</f>
        <v/>
      </c>
      <c r="N70" s="57">
        <f>IF(N$69&lt;$B$62,0,IF(N$69&lt;=9,$B$65,$B$66))</f>
        <v/>
      </c>
      <c r="O70" s="57">
        <f>IF(O$69&lt;$B$62,0,IF(O$69&lt;=9,$B$65,$B$66))</f>
        <v/>
      </c>
      <c r="P70" s="57">
        <f>IF(P$69&lt;$B$62,0,IF(P$69&lt;=9,$B$65,$B$66))</f>
        <v/>
      </c>
      <c r="Q70" s="57">
        <f>IF(Q$69&lt;$B$62,0,IF(Q$69&lt;=9,$B$65,$B$66))</f>
        <v/>
      </c>
      <c r="R70" s="57">
        <f>IF(R$69&lt;$B$62,0,IF(R$69&lt;=9,$B$65,$B$66))</f>
        <v/>
      </c>
      <c r="S70" s="57">
        <f>IF(S$69&lt;$B$62,0,IF(S$69&lt;=9,$B$65,$B$66))</f>
        <v/>
      </c>
    </row>
    <row r="71">
      <c r="A71" s="42" t="inlineStr">
        <is>
          <t>Abonnés actifs</t>
        </is>
      </c>
      <c r="B71" s="53">
        <f>N(A71)*(1-$B$8)+B70</f>
        <v/>
      </c>
      <c r="C71" s="53">
        <f>N(B71)*(1-$B$8)+C70</f>
        <v/>
      </c>
      <c r="D71" s="53">
        <f>N(C71)*(1-$B$8)+D70</f>
        <v/>
      </c>
      <c r="E71" s="53">
        <f>N(D71)*(1-$B$8)+E70</f>
        <v/>
      </c>
      <c r="F71" s="53">
        <f>N(E71)*(1-$B$8)+F70</f>
        <v/>
      </c>
      <c r="G71" s="53">
        <f>N(F71)*(1-$B$8)+G70</f>
        <v/>
      </c>
      <c r="H71" s="53">
        <f>N(G71)*(1-$B$8)+H70</f>
        <v/>
      </c>
      <c r="I71" s="53">
        <f>N(H71)*(1-$B$8)+I70</f>
        <v/>
      </c>
      <c r="J71" s="53">
        <f>N(I71)*(1-$B$8)+J70</f>
        <v/>
      </c>
      <c r="K71" s="53">
        <f>N(J71)*(1-$B$8)+K70</f>
        <v/>
      </c>
      <c r="L71" s="53">
        <f>N(K71)*(1-$B$8)+L70</f>
        <v/>
      </c>
      <c r="M71" s="53">
        <f>N(L71)*(1-$B$8)+M70</f>
        <v/>
      </c>
      <c r="N71" s="53">
        <f>N(M71)*(1-$B$8)+N70</f>
        <v/>
      </c>
      <c r="O71" s="53">
        <f>N(N71)*(1-$B$8)+O70</f>
        <v/>
      </c>
      <c r="P71" s="53">
        <f>N(O71)*(1-$B$8)+P70</f>
        <v/>
      </c>
      <c r="Q71" s="53">
        <f>N(P71)*(1-$B$8)+Q70</f>
        <v/>
      </c>
      <c r="R71" s="53">
        <f>N(Q71)*(1-$B$8)+R70</f>
        <v/>
      </c>
      <c r="S71" s="53">
        <f>N(R71)*(1-$B$8)+S70</f>
        <v/>
      </c>
    </row>
    <row r="72">
      <c r="A72" s="42" t="inlineStr">
        <is>
          <t>Vélos en flotte</t>
        </is>
      </c>
      <c r="B72" s="53">
        <f>IF(B$69&gt;=$B$62,MAX(N(A72),B71+Hypothèses!$B$32),0)</f>
        <v/>
      </c>
      <c r="C72" s="53">
        <f>IF(C$69&gt;=$B$62,MAX(N(B72),C71+Hypothèses!$B$32),0)</f>
        <v/>
      </c>
      <c r="D72" s="53">
        <f>IF(D$69&gt;=$B$62,MAX(N(C72),D71+Hypothèses!$B$32),0)</f>
        <v/>
      </c>
      <c r="E72" s="53">
        <f>IF(E$69&gt;=$B$62,MAX(N(D72),E71+Hypothèses!$B$32),0)</f>
        <v/>
      </c>
      <c r="F72" s="53">
        <f>IF(F$69&gt;=$B$62,MAX(N(E72),F71+Hypothèses!$B$32),0)</f>
        <v/>
      </c>
      <c r="G72" s="53">
        <f>IF(G$69&gt;=$B$62,MAX(N(F72),G71+Hypothèses!$B$32),0)</f>
        <v/>
      </c>
      <c r="H72" s="53">
        <f>IF(H$69&gt;=$B$62,MAX(N(G72),H71+Hypothèses!$B$32),0)</f>
        <v/>
      </c>
      <c r="I72" s="53">
        <f>IF(I$69&gt;=$B$62,MAX(N(H72),I71+Hypothèses!$B$32),0)</f>
        <v/>
      </c>
      <c r="J72" s="53">
        <f>IF(J$69&gt;=$B$62,MAX(N(I72),J71+Hypothèses!$B$32),0)</f>
        <v/>
      </c>
      <c r="K72" s="53">
        <f>IF(K$69&gt;=$B$62,MAX(N(J72),K71+Hypothèses!$B$32),0)</f>
        <v/>
      </c>
      <c r="L72" s="53">
        <f>IF(L$69&gt;=$B$62,MAX(N(K72),L71+Hypothèses!$B$32),0)</f>
        <v/>
      </c>
      <c r="M72" s="53">
        <f>IF(M$69&gt;=$B$62,MAX(N(L72),M71+Hypothèses!$B$32),0)</f>
        <v/>
      </c>
      <c r="N72" s="53">
        <f>IF(N$69&gt;=$B$62,MAX(N(M72),N71+Hypothèses!$B$32),0)</f>
        <v/>
      </c>
      <c r="O72" s="53">
        <f>IF(O$69&gt;=$B$62,MAX(N(N72),O71+Hypothèses!$B$32),0)</f>
        <v/>
      </c>
      <c r="P72" s="53">
        <f>IF(P$69&gt;=$B$62,MAX(N(O72),P71+Hypothèses!$B$32),0)</f>
        <v/>
      </c>
      <c r="Q72" s="53">
        <f>IF(Q$69&gt;=$B$62,MAX(N(P72),Q71+Hypothèses!$B$32),0)</f>
        <v/>
      </c>
      <c r="R72" s="53">
        <f>IF(R$69&gt;=$B$62,MAX(N(Q72),R71+Hypothèses!$B$32),0)</f>
        <v/>
      </c>
      <c r="S72" s="53">
        <f>IF(S$69&gt;=$B$62,MAX(N(R72),S71+Hypothèses!$B$32),0)</f>
        <v/>
      </c>
    </row>
    <row r="73">
      <c r="A73" s="42" t="inlineStr">
        <is>
          <t>Revenus</t>
        </is>
      </c>
      <c r="B73" s="53">
        <f>B71*Hypothèses!$B$6</f>
        <v/>
      </c>
      <c r="C73" s="53">
        <f>C71*Hypothèses!$B$6</f>
        <v/>
      </c>
      <c r="D73" s="53">
        <f>D71*Hypothèses!$B$6</f>
        <v/>
      </c>
      <c r="E73" s="53">
        <f>E71*Hypothèses!$B$6</f>
        <v/>
      </c>
      <c r="F73" s="53">
        <f>F71*Hypothèses!$B$6</f>
        <v/>
      </c>
      <c r="G73" s="53">
        <f>G71*Hypothèses!$B$6</f>
        <v/>
      </c>
      <c r="H73" s="53">
        <f>H71*Hypothèses!$B$6</f>
        <v/>
      </c>
      <c r="I73" s="53">
        <f>I71*Hypothèses!$B$6</f>
        <v/>
      </c>
      <c r="J73" s="53">
        <f>J71*Hypothèses!$B$6</f>
        <v/>
      </c>
      <c r="K73" s="53">
        <f>K71*Hypothèses!$B$6</f>
        <v/>
      </c>
      <c r="L73" s="53">
        <f>L71*Hypothèses!$B$6</f>
        <v/>
      </c>
      <c r="M73" s="53">
        <f>M71*Hypothèses!$B$6</f>
        <v/>
      </c>
      <c r="N73" s="53">
        <f>N71*Hypothèses!$B$6</f>
        <v/>
      </c>
      <c r="O73" s="53">
        <f>O71*Hypothèses!$B$6</f>
        <v/>
      </c>
      <c r="P73" s="53">
        <f>P71*Hypothèses!$B$6</f>
        <v/>
      </c>
      <c r="Q73" s="53">
        <f>Q71*Hypothèses!$B$6</f>
        <v/>
      </c>
      <c r="R73" s="53">
        <f>R71*Hypothèses!$B$6</f>
        <v/>
      </c>
      <c r="S73" s="53">
        <f>S71*Hypothèses!$B$6</f>
        <v/>
      </c>
    </row>
    <row r="74">
      <c r="A74" s="42" t="inlineStr">
        <is>
          <t>Flotte (achat + location)</t>
        </is>
      </c>
      <c r="B74" s="53">
        <f>(MIN(B72,Hypothèses!$B$74)-MIN(N(A72),Hypothèses!$B$74))*Hypothèses!$B$11+MAX(0,B72-Hypothèses!$B$74)*Hypothèses!$B$34</f>
        <v/>
      </c>
      <c r="C74" s="53">
        <f>(MIN(C72,Hypothèses!$B$74)-MIN(N(B72),Hypothèses!$B$74))*Hypothèses!$B$11+MAX(0,C72-Hypothèses!$B$74)*Hypothèses!$B$34</f>
        <v/>
      </c>
      <c r="D74" s="53">
        <f>(MIN(D72,Hypothèses!$B$74)-MIN(N(C72),Hypothèses!$B$74))*Hypothèses!$B$11+MAX(0,D72-Hypothèses!$B$74)*Hypothèses!$B$34</f>
        <v/>
      </c>
      <c r="E74" s="53">
        <f>(MIN(E72,Hypothèses!$B$74)-MIN(N(D72),Hypothèses!$B$74))*Hypothèses!$B$11+MAX(0,E72-Hypothèses!$B$74)*Hypothèses!$B$34</f>
        <v/>
      </c>
      <c r="F74" s="53">
        <f>(MIN(F72,Hypothèses!$B$74)-MIN(N(E72),Hypothèses!$B$74))*Hypothèses!$B$11+MAX(0,F72-Hypothèses!$B$74)*Hypothèses!$B$34</f>
        <v/>
      </c>
      <c r="G74" s="53">
        <f>(MIN(G72,Hypothèses!$B$74)-MIN(N(F72),Hypothèses!$B$74))*Hypothèses!$B$11+MAX(0,G72-Hypothèses!$B$74)*Hypothèses!$B$34</f>
        <v/>
      </c>
      <c r="H74" s="53">
        <f>(MIN(H72,Hypothèses!$B$74)-MIN(N(G72),Hypothèses!$B$74))*Hypothèses!$B$11+MAX(0,H72-Hypothèses!$B$74)*Hypothèses!$B$34</f>
        <v/>
      </c>
      <c r="I74" s="53">
        <f>(MIN(I72,Hypothèses!$B$74)-MIN(N(H72),Hypothèses!$B$74))*Hypothèses!$B$11+MAX(0,I72-Hypothèses!$B$74)*Hypothèses!$B$34</f>
        <v/>
      </c>
      <c r="J74" s="53">
        <f>(MIN(J72,Hypothèses!$B$74)-MIN(N(I72),Hypothèses!$B$74))*Hypothèses!$B$11+MAX(0,J72-Hypothèses!$B$74)*Hypothèses!$B$34</f>
        <v/>
      </c>
      <c r="K74" s="53">
        <f>(MIN(K72,Hypothèses!$B$74)-MIN(N(J72),Hypothèses!$B$74))*Hypothèses!$B$11+MAX(0,K72-Hypothèses!$B$74)*Hypothèses!$B$34</f>
        <v/>
      </c>
      <c r="L74" s="53">
        <f>(MIN(L72,Hypothèses!$B$74)-MIN(N(K72),Hypothèses!$B$74))*Hypothèses!$B$11+MAX(0,L72-Hypothèses!$B$74)*Hypothèses!$B$34</f>
        <v/>
      </c>
      <c r="M74" s="53">
        <f>(MIN(M72,Hypothèses!$B$74)-MIN(N(L72),Hypothèses!$B$74))*Hypothèses!$B$11+MAX(0,M72-Hypothèses!$B$74)*Hypothèses!$B$34</f>
        <v/>
      </c>
      <c r="N74" s="53">
        <f>(MIN(N72,Hypothèses!$B$74)-MIN(N(M72),Hypothèses!$B$74))*Hypothèses!$B$11+MAX(0,N72-Hypothèses!$B$74)*Hypothèses!$B$34</f>
        <v/>
      </c>
      <c r="O74" s="53">
        <f>(MIN(O72,Hypothèses!$B$74)-MIN(N(N72),Hypothèses!$B$74))*Hypothèses!$B$11+MAX(0,O72-Hypothèses!$B$74)*Hypothèses!$B$34</f>
        <v/>
      </c>
      <c r="P74" s="53">
        <f>(MIN(P72,Hypothèses!$B$74)-MIN(N(O72),Hypothèses!$B$74))*Hypothèses!$B$11+MAX(0,P72-Hypothèses!$B$74)*Hypothèses!$B$34</f>
        <v/>
      </c>
      <c r="Q74" s="53">
        <f>(MIN(Q72,Hypothèses!$B$74)-MIN(N(P72),Hypothèses!$B$74))*Hypothèses!$B$11+MAX(0,Q72-Hypothèses!$B$74)*Hypothèses!$B$34</f>
        <v/>
      </c>
      <c r="R74" s="53">
        <f>(MIN(R72,Hypothèses!$B$74)-MIN(N(Q72),Hypothèses!$B$74))*Hypothèses!$B$11+MAX(0,R72-Hypothèses!$B$74)*Hypothèses!$B$34</f>
        <v/>
      </c>
      <c r="S74" s="53">
        <f>(MIN(S72,Hypothèses!$B$74)-MIN(N(R72),Hypothèses!$B$74))*Hypothèses!$B$11+MAX(0,S72-Hypothèses!$B$74)*Hypothèses!$B$34</f>
        <v/>
      </c>
    </row>
    <row r="75">
      <c r="A75" s="42" t="inlineStr">
        <is>
          <t>Plateforme et outils</t>
        </is>
      </c>
      <c r="B75" s="53">
        <f>'Budget mensualisé'!E25-'Budget mensualisé'!E23+IF(Hypothèses!$B$31="B",B73*Hypothèses!$B$18,0)+IF(B$69=Hypothèses!$B$71,$B$10*Hypothèses!$B$15,0)</f>
        <v/>
      </c>
      <c r="C75" s="53">
        <f>'Budget mensualisé'!F25-'Budget mensualisé'!F23+IF(Hypothèses!$B$31="B",C73*Hypothèses!$B$18,0)+IF(C$69=Hypothèses!$B$71,$B$10*Hypothèses!$B$15,0)</f>
        <v/>
      </c>
      <c r="D75" s="53">
        <f>'Budget mensualisé'!G25-'Budget mensualisé'!G23+IF(Hypothèses!$B$31="B",D73*Hypothèses!$B$18,0)+IF(D$69=Hypothèses!$B$71,$B$10*Hypothèses!$B$15,0)</f>
        <v/>
      </c>
      <c r="E75" s="53">
        <f>'Budget mensualisé'!H25-'Budget mensualisé'!H23+IF(Hypothèses!$B$31="B",E73*Hypothèses!$B$18,0)+IF(E$69=Hypothèses!$B$71,$B$10*Hypothèses!$B$15,0)</f>
        <v/>
      </c>
      <c r="F75" s="53">
        <f>'Budget mensualisé'!I25-'Budget mensualisé'!I23+IF(Hypothèses!$B$31="B",F73*Hypothèses!$B$18,0)+IF(F$69=Hypothèses!$B$71,$B$10*Hypothèses!$B$15,0)</f>
        <v/>
      </c>
      <c r="G75" s="53">
        <f>'Budget mensualisé'!J25-'Budget mensualisé'!J23+IF(Hypothèses!$B$31="B",G73*Hypothèses!$B$18,0)+IF(G$69=Hypothèses!$B$71,$B$10*Hypothèses!$B$15,0)</f>
        <v/>
      </c>
      <c r="H75" s="53">
        <f>'Budget mensualisé'!K25-'Budget mensualisé'!K23+IF(Hypothèses!$B$31="B",H73*Hypothèses!$B$18,0)+IF(H$69=Hypothèses!$B$71,$B$10*Hypothèses!$B$15,0)</f>
        <v/>
      </c>
      <c r="I75" s="53">
        <f>'Budget mensualisé'!L25-'Budget mensualisé'!L23+IF(Hypothèses!$B$31="B",I73*Hypothèses!$B$18,0)+IF(I$69=Hypothèses!$B$71,$B$10*Hypothèses!$B$15,0)</f>
        <v/>
      </c>
      <c r="J75" s="53">
        <f>'Budget mensualisé'!M25-'Budget mensualisé'!M23+IF(Hypothèses!$B$31="B",J73*Hypothèses!$B$18,0)+IF(J$69=Hypothèses!$B$71,$B$10*Hypothèses!$B$15,0)</f>
        <v/>
      </c>
      <c r="K75" s="53">
        <f>'Budget mensualisé'!N25-'Budget mensualisé'!N23+IF(Hypothèses!$B$31="B",K73*Hypothèses!$B$18,0)+IF(K$69=Hypothèses!$B$71,$B$10*Hypothèses!$B$15,0)</f>
        <v/>
      </c>
      <c r="L75" s="53">
        <f>'Budget mensualisé'!O25-'Budget mensualisé'!O23+IF(Hypothèses!$B$31="B",L73*Hypothèses!$B$18,0)+IF(L$69=Hypothèses!$B$71,$B$10*Hypothèses!$B$15,0)</f>
        <v/>
      </c>
      <c r="M75" s="53">
        <f>'Budget mensualisé'!P25-'Budget mensualisé'!P23+IF(Hypothèses!$B$31="B",M73*Hypothèses!$B$18,0)+IF(M$69=Hypothèses!$B$71,$B$10*Hypothèses!$B$15,0)</f>
        <v/>
      </c>
      <c r="N75" s="53">
        <f>'Budget mensualisé'!Q25-'Budget mensualisé'!Q23+IF(Hypothèses!$B$31="B",N73*Hypothèses!$B$18,0)+IF(N$69=Hypothèses!$B$71,$B$10*Hypothèses!$B$15,0)</f>
        <v/>
      </c>
      <c r="O75" s="53">
        <f>'Budget mensualisé'!R25-'Budget mensualisé'!R23+IF(Hypothèses!$B$31="B",O73*Hypothèses!$B$18,0)+IF(O$69=Hypothèses!$B$71,$B$10*Hypothèses!$B$15,0)</f>
        <v/>
      </c>
      <c r="P75" s="53">
        <f>'Budget mensualisé'!S25-'Budget mensualisé'!S23+IF(Hypothèses!$B$31="B",P73*Hypothèses!$B$18,0)+IF(P$69=Hypothèses!$B$71,$B$10*Hypothèses!$B$15,0)</f>
        <v/>
      </c>
      <c r="Q75" s="53">
        <f>'Budget mensualisé'!T25-'Budget mensualisé'!T23+IF(Hypothèses!$B$31="B",Q73*Hypothèses!$B$18,0)+IF(Q$69=Hypothèses!$B$71,$B$10*Hypothèses!$B$15,0)</f>
        <v/>
      </c>
      <c r="R75" s="53">
        <f>'Budget mensualisé'!U25-'Budget mensualisé'!U23+IF(Hypothèses!$B$31="B",R73*Hypothèses!$B$18,0)+IF(R$69=Hypothèses!$B$71,$B$10*Hypothèses!$B$15,0)</f>
        <v/>
      </c>
      <c r="S75" s="53">
        <f>'Budget mensualisé'!V25-'Budget mensualisé'!V23+IF(Hypothèses!$B$31="B",S73*Hypothèses!$B$18,0)+IF(S$69=Hypothèses!$B$71,$B$10*Hypothèses!$B$15,0)</f>
        <v/>
      </c>
    </row>
    <row r="76">
      <c r="A76" s="42" t="inlineStr">
        <is>
          <t>RH internes</t>
        </is>
      </c>
      <c r="B76" s="59">
        <f>'Budget mensualisé'!E30</f>
        <v/>
      </c>
      <c r="C76" s="59">
        <f>'Budget mensualisé'!F30</f>
        <v/>
      </c>
      <c r="D76" s="59">
        <f>'Budget mensualisé'!G30</f>
        <v/>
      </c>
      <c r="E76" s="59">
        <f>'Budget mensualisé'!H30</f>
        <v/>
      </c>
      <c r="F76" s="59">
        <f>'Budget mensualisé'!I30</f>
        <v/>
      </c>
      <c r="G76" s="59">
        <f>'Budget mensualisé'!J30</f>
        <v/>
      </c>
      <c r="H76" s="59">
        <f>'Budget mensualisé'!K30</f>
        <v/>
      </c>
      <c r="I76" s="59">
        <f>'Budget mensualisé'!L30</f>
        <v/>
      </c>
      <c r="J76" s="59">
        <f>'Budget mensualisé'!M30</f>
        <v/>
      </c>
      <c r="K76" s="59">
        <f>'Budget mensualisé'!N30</f>
        <v/>
      </c>
      <c r="L76" s="59">
        <f>'Budget mensualisé'!O30</f>
        <v/>
      </c>
      <c r="M76" s="59">
        <f>'Budget mensualisé'!P30</f>
        <v/>
      </c>
      <c r="N76" s="59">
        <f>'Budget mensualisé'!Q30</f>
        <v/>
      </c>
      <c r="O76" s="59">
        <f>'Budget mensualisé'!R30</f>
        <v/>
      </c>
      <c r="P76" s="59">
        <f>'Budget mensualisé'!S30</f>
        <v/>
      </c>
      <c r="Q76" s="59">
        <f>'Budget mensualisé'!T30</f>
        <v/>
      </c>
      <c r="R76" s="59">
        <f>'Budget mensualisé'!U30</f>
        <v/>
      </c>
      <c r="S76" s="59">
        <f>'Budget mensualisé'!V30</f>
        <v/>
      </c>
    </row>
    <row r="77">
      <c r="A77" s="42" t="inlineStr">
        <is>
          <t>Média et acquisition</t>
        </is>
      </c>
      <c r="B77" s="53">
        <f>B70*$B$67+'Budget mensualisé'!E36</f>
        <v/>
      </c>
      <c r="C77" s="53">
        <f>C70*$B$67+'Budget mensualisé'!F36</f>
        <v/>
      </c>
      <c r="D77" s="53">
        <f>D70*$B$67+'Budget mensualisé'!G36</f>
        <v/>
      </c>
      <c r="E77" s="53">
        <f>E70*$B$67+'Budget mensualisé'!H36</f>
        <v/>
      </c>
      <c r="F77" s="53">
        <f>F70*$B$67+'Budget mensualisé'!I36</f>
        <v/>
      </c>
      <c r="G77" s="53">
        <f>G70*$B$67+'Budget mensualisé'!J36</f>
        <v/>
      </c>
      <c r="H77" s="53">
        <f>H70*$B$67+'Budget mensualisé'!K36</f>
        <v/>
      </c>
      <c r="I77" s="53">
        <f>I70*$B$67+'Budget mensualisé'!L36</f>
        <v/>
      </c>
      <c r="J77" s="53">
        <f>J70*$B$67+'Budget mensualisé'!M36</f>
        <v/>
      </c>
      <c r="K77" s="53">
        <f>K70*$B$67+'Budget mensualisé'!N36</f>
        <v/>
      </c>
      <c r="L77" s="53">
        <f>L70*$B$67+'Budget mensualisé'!O36</f>
        <v/>
      </c>
      <c r="M77" s="53">
        <f>M70*$B$67+'Budget mensualisé'!P36</f>
        <v/>
      </c>
      <c r="N77" s="53">
        <f>N70*$B$67+'Budget mensualisé'!Q36</f>
        <v/>
      </c>
      <c r="O77" s="53">
        <f>O70*$B$67+'Budget mensualisé'!R36</f>
        <v/>
      </c>
      <c r="P77" s="53">
        <f>P70*$B$67+'Budget mensualisé'!S36</f>
        <v/>
      </c>
      <c r="Q77" s="53">
        <f>Q70*$B$67+'Budget mensualisé'!T36</f>
        <v/>
      </c>
      <c r="R77" s="53">
        <f>R70*$B$67+'Budget mensualisé'!U36</f>
        <v/>
      </c>
      <c r="S77" s="53">
        <f>S70*$B$67+'Budget mensualisé'!V36</f>
        <v/>
      </c>
    </row>
    <row r="78">
      <c r="A78" s="42" t="inlineStr">
        <is>
          <t>Exploitation</t>
        </is>
      </c>
      <c r="B78" s="53">
        <f>B71*Hypothèses!$B$13+B73*Hypothèses!$B$60</f>
        <v/>
      </c>
      <c r="C78" s="53">
        <f>C71*Hypothèses!$B$13+C73*Hypothèses!$B$60</f>
        <v/>
      </c>
      <c r="D78" s="53">
        <f>D71*Hypothèses!$B$13+D73*Hypothèses!$B$60</f>
        <v/>
      </c>
      <c r="E78" s="53">
        <f>E71*Hypothèses!$B$13+E73*Hypothèses!$B$60</f>
        <v/>
      </c>
      <c r="F78" s="53">
        <f>F71*Hypothèses!$B$13+F73*Hypothèses!$B$60</f>
        <v/>
      </c>
      <c r="G78" s="53">
        <f>G71*Hypothèses!$B$13+G73*Hypothèses!$B$60</f>
        <v/>
      </c>
      <c r="H78" s="53">
        <f>H71*Hypothèses!$B$13+H73*Hypothèses!$B$60</f>
        <v/>
      </c>
      <c r="I78" s="53">
        <f>I71*Hypothèses!$B$13+I73*Hypothèses!$B$60</f>
        <v/>
      </c>
      <c r="J78" s="53">
        <f>J71*Hypothèses!$B$13+J73*Hypothèses!$B$60</f>
        <v/>
      </c>
      <c r="K78" s="53">
        <f>K71*Hypothèses!$B$13+K73*Hypothèses!$B$60</f>
        <v/>
      </c>
      <c r="L78" s="53">
        <f>L71*Hypothèses!$B$13+L73*Hypothèses!$B$60</f>
        <v/>
      </c>
      <c r="M78" s="53">
        <f>M71*Hypothèses!$B$13+M73*Hypothèses!$B$60</f>
        <v/>
      </c>
      <c r="N78" s="53">
        <f>N71*Hypothèses!$B$13+N73*Hypothèses!$B$60</f>
        <v/>
      </c>
      <c r="O78" s="53">
        <f>O71*Hypothèses!$B$13+O73*Hypothèses!$B$60</f>
        <v/>
      </c>
      <c r="P78" s="53">
        <f>P71*Hypothèses!$B$13+P73*Hypothèses!$B$60</f>
        <v/>
      </c>
      <c r="Q78" s="53">
        <f>Q71*Hypothèses!$B$13+Q73*Hypothèses!$B$60</f>
        <v/>
      </c>
      <c r="R78" s="53">
        <f>R71*Hypothèses!$B$13+R73*Hypothèses!$B$60</f>
        <v/>
      </c>
      <c r="S78" s="53">
        <f>S71*Hypothèses!$B$13+S73*Hypothèses!$B$60</f>
        <v/>
      </c>
    </row>
    <row r="79">
      <c r="A79" s="42" t="inlineStr">
        <is>
          <t>Prestations externes</t>
        </is>
      </c>
      <c r="B79" s="59">
        <f>'Budget mensualisé'!E33</f>
        <v/>
      </c>
      <c r="C79" s="59">
        <f>'Budget mensualisé'!F33</f>
        <v/>
      </c>
      <c r="D79" s="59">
        <f>'Budget mensualisé'!G33</f>
        <v/>
      </c>
      <c r="E79" s="59">
        <f>'Budget mensualisé'!H33</f>
        <v/>
      </c>
      <c r="F79" s="59">
        <f>'Budget mensualisé'!I33</f>
        <v/>
      </c>
      <c r="G79" s="59">
        <f>'Budget mensualisé'!J33</f>
        <v/>
      </c>
      <c r="H79" s="59">
        <f>'Budget mensualisé'!K33</f>
        <v/>
      </c>
      <c r="I79" s="59">
        <f>'Budget mensualisé'!L33</f>
        <v/>
      </c>
      <c r="J79" s="59">
        <f>'Budget mensualisé'!M33</f>
        <v/>
      </c>
      <c r="K79" s="59">
        <f>'Budget mensualisé'!N33</f>
        <v/>
      </c>
      <c r="L79" s="59">
        <f>'Budget mensualisé'!O33</f>
        <v/>
      </c>
      <c r="M79" s="59">
        <f>'Budget mensualisé'!P33</f>
        <v/>
      </c>
      <c r="N79" s="59">
        <f>'Budget mensualisé'!Q33</f>
        <v/>
      </c>
      <c r="O79" s="59">
        <f>'Budget mensualisé'!R33</f>
        <v/>
      </c>
      <c r="P79" s="59">
        <f>'Budget mensualisé'!S33</f>
        <v/>
      </c>
      <c r="Q79" s="59">
        <f>'Budget mensualisé'!T33</f>
        <v/>
      </c>
      <c r="R79" s="59">
        <f>'Budget mensualisé'!U33</f>
        <v/>
      </c>
      <c r="S79" s="59">
        <f>'Budget mensualisé'!V33</f>
        <v/>
      </c>
    </row>
    <row r="81">
      <c r="A81" s="55" t="inlineStr">
        <is>
          <t>Réel reconstitué à partir de la fiche : lancement décalé d'un mois, churn de 5 %, CPC de 1,35 €, 12 jours-homme de plus sur la plateforme, abonnés actifs à − 17 % au mois 9. Mois 10 à 18 : mêmes hypothèses observées, objectif maintenu.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J46"/>
  <sheetViews>
    <sheetView tabSelected="1" topLeftCell="A30" zoomScale="106" zoomScaleNormal="100" workbookViewId="0">
      <selection activeCell="A1" sqref="A1"/>
    </sheetView>
  </sheetViews>
  <sheetFormatPr baseColWidth="10" defaultColWidth="8.6640625" defaultRowHeight="15"/>
  <cols>
    <col width="20" customWidth="1" min="1" max="10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18" customHeight="1">
      <c r="A1" s="3" t="inlineStr">
        <is>
          <t>Business Model Canvas (bloc 1, exercice 1)</t>
        </is>
      </c>
    </row>
    <row r="2">
      <c r="A2" s="4" t="inlineStr">
        <is>
          <t>D'après Osterwalder et Pigneur, Business Model Generation (2010)</t>
        </is>
      </c>
    </row>
    <row r="3" ht="16" customHeight="1">
      <c r="A3" s="35" t="inlineStr">
        <is>
          <t>1. Vélora : vente en boutique</t>
        </is>
      </c>
    </row>
    <row r="4" ht="24" customHeight="1">
      <c r="A4" s="2" t="inlineStr">
        <is>
          <t>Partenaires clés</t>
        </is>
      </c>
      <c r="B4" s="73" t="n"/>
      <c r="C4" s="2" t="inlineStr">
        <is>
          <t>Activités clés</t>
        </is>
      </c>
      <c r="D4" s="73" t="n"/>
      <c r="E4" s="2" t="inlineStr">
        <is>
          <t>Proposition de valeur</t>
        </is>
      </c>
      <c r="F4" s="73" t="n"/>
      <c r="G4" s="2" t="inlineStr">
        <is>
          <t>Relations clients</t>
        </is>
      </c>
      <c r="H4" s="73" t="n"/>
      <c r="I4" s="2" t="inlineStr">
        <is>
          <t>Segments clients</t>
        </is>
      </c>
      <c r="J4" s="73" t="n"/>
    </row>
    <row r="5" ht="22" customHeight="1">
      <c r="A5" s="56" t="inlineStr">
        <is>
          <t>• Fournisseurs de vélos d'occasion
• Fournisseurs de pièces et de batteries
• Bailleurs des 6 boutiques
• Organisme de paiement en plusieurs fois</t>
        </is>
      </c>
      <c r="B5" s="74" t="n"/>
      <c r="C5" s="56" t="inlineStr">
        <is>
          <t>• Sourcing et rachat de vélos
• Reconditionnement en atelier
• Vente et conseil en boutique
• SAV ponctuel</t>
        </is>
      </c>
      <c r="D5" s="74" t="n"/>
      <c r="E5" s="56" t="inlineStr">
        <is>
          <t>• Un vélo électrique de qualité, moins cher que le neuf
• Reconditionné et garanti par un pro local
• Conseil et essai avant l'achat
• Choix écoresponsable : seconde vie</t>
        </is>
      </c>
      <c r="F5" s="74" t="n"/>
      <c r="G5" s="56" t="inlineStr">
        <is>
          <t>• Transactionnelle : un achat, puis peu de contact
• Conseil en face à face
• Retour ponctuel au SAV</t>
        </is>
      </c>
      <c r="H5" s="74" t="n"/>
      <c r="I5" s="56" t="inlineStr">
        <is>
          <t>• Particuliers lyonnais prêts à acheter un vélo électrique
• Navetteurs qui veulent un vélo à eux
• Sensibles au prix et à l'écologie
• Capables d'avancer le prix du vélo</t>
        </is>
      </c>
      <c r="J5" s="74" t="n"/>
    </row>
    <row r="6" ht="22" customHeight="1">
      <c r="A6" s="75" t="n"/>
      <c r="B6" s="76" t="n"/>
      <c r="C6" s="75" t="n"/>
      <c r="D6" s="76" t="n"/>
      <c r="E6" s="75" t="n"/>
      <c r="F6" s="76" t="n"/>
      <c r="G6" s="75" t="n"/>
      <c r="H6" s="76" t="n"/>
      <c r="I6" s="75" t="n"/>
      <c r="J6" s="76" t="n"/>
    </row>
    <row r="7" ht="22" customHeight="1">
      <c r="A7" s="75" t="n"/>
      <c r="B7" s="76" t="n"/>
      <c r="C7" s="75" t="n"/>
      <c r="D7" s="76" t="n"/>
      <c r="E7" s="75" t="n"/>
      <c r="F7" s="76" t="n"/>
      <c r="G7" s="75" t="n"/>
      <c r="H7" s="76" t="n"/>
      <c r="I7" s="75" t="n"/>
      <c r="J7" s="76" t="n"/>
    </row>
    <row r="8" ht="22" customHeight="1">
      <c r="A8" s="75" t="n"/>
      <c r="B8" s="76" t="n"/>
      <c r="C8" s="75" t="n"/>
      <c r="D8" s="76" t="n"/>
      <c r="E8" s="75" t="n"/>
      <c r="F8" s="76" t="n"/>
      <c r="G8" s="75" t="n"/>
      <c r="H8" s="76" t="n"/>
      <c r="I8" s="75" t="n"/>
      <c r="J8" s="76" t="n"/>
    </row>
    <row r="9" ht="22" customHeight="1">
      <c r="A9" s="75" t="n"/>
      <c r="B9" s="76" t="n"/>
      <c r="C9" s="77" t="n"/>
      <c r="D9" s="78" t="n"/>
      <c r="E9" s="75" t="n"/>
      <c r="F9" s="76" t="n"/>
      <c r="G9" s="77" t="n"/>
      <c r="H9" s="78" t="n"/>
      <c r="I9" s="75" t="n"/>
      <c r="J9" s="76" t="n"/>
    </row>
    <row r="10" ht="22" customHeight="1">
      <c r="A10" s="75" t="n"/>
      <c r="B10" s="76" t="n"/>
      <c r="C10" s="2" t="inlineStr">
        <is>
          <t>Ressources clés</t>
        </is>
      </c>
      <c r="D10" s="73" t="n"/>
      <c r="E10" s="75" t="n"/>
      <c r="F10" s="76" t="n"/>
      <c r="G10" s="2" t="inlineStr">
        <is>
          <t>Canaux</t>
        </is>
      </c>
      <c r="H10" s="73" t="n"/>
      <c r="I10" s="75" t="n"/>
      <c r="J10" s="76" t="n"/>
    </row>
    <row r="11" ht="22" customHeight="1">
      <c r="A11" s="75" t="n"/>
      <c r="B11" s="76" t="n"/>
      <c r="C11" s="56" t="inlineStr">
        <is>
          <t>• 6 boutiques à Lyon
• Atelier et techniciens
• 45 salariés
• Stock de vélos à écouler</t>
        </is>
      </c>
      <c r="D11" s="74" t="n"/>
      <c r="E11" s="75" t="n"/>
      <c r="F11" s="76" t="n"/>
      <c r="G11" s="56" t="inlineStr">
        <is>
          <t>• Les 6 boutiques
• Bouche-à-oreille, notoriété locale
• Site vitrine et fiche Google</t>
        </is>
      </c>
      <c r="H11" s="74" t="n"/>
      <c r="I11" s="75" t="n"/>
      <c r="J11" s="76" t="n"/>
    </row>
    <row r="12" ht="22" customHeight="1">
      <c r="A12" s="75" t="n"/>
      <c r="B12" s="76" t="n"/>
      <c r="C12" s="75" t="n"/>
      <c r="D12" s="76" t="n"/>
      <c r="E12" s="75" t="n"/>
      <c r="F12" s="76" t="n"/>
      <c r="G12" s="75" t="n"/>
      <c r="H12" s="76" t="n"/>
      <c r="I12" s="75" t="n"/>
      <c r="J12" s="76" t="n"/>
    </row>
    <row r="13" ht="22" customHeight="1">
      <c r="A13" s="75" t="n"/>
      <c r="B13" s="76" t="n"/>
      <c r="C13" s="75" t="n"/>
      <c r="D13" s="76" t="n"/>
      <c r="E13" s="75" t="n"/>
      <c r="F13" s="76" t="n"/>
      <c r="G13" s="75" t="n"/>
      <c r="H13" s="76" t="n"/>
      <c r="I13" s="75" t="n"/>
      <c r="J13" s="76" t="n"/>
    </row>
    <row r="14" ht="22" customHeight="1">
      <c r="A14" s="75" t="n"/>
      <c r="B14" s="76" t="n"/>
      <c r="C14" s="75" t="n"/>
      <c r="D14" s="76" t="n"/>
      <c r="E14" s="75" t="n"/>
      <c r="F14" s="76" t="n"/>
      <c r="G14" s="75" t="n"/>
      <c r="H14" s="76" t="n"/>
      <c r="I14" s="75" t="n"/>
      <c r="J14" s="76" t="n"/>
    </row>
    <row r="15" ht="22" customHeight="1">
      <c r="A15" s="77" t="n"/>
      <c r="B15" s="78" t="n"/>
      <c r="C15" s="77" t="n"/>
      <c r="D15" s="78" t="n"/>
      <c r="E15" s="77" t="n"/>
      <c r="F15" s="78" t="n"/>
      <c r="G15" s="77" t="n"/>
      <c r="H15" s="78" t="n"/>
      <c r="I15" s="77" t="n"/>
      <c r="J15" s="78" t="n"/>
    </row>
    <row r="16" ht="24" customHeight="1">
      <c r="A16" s="2" t="inlineStr">
        <is>
          <t>Structure de coûts</t>
        </is>
      </c>
      <c r="B16" s="79" t="n"/>
      <c r="C16" s="79" t="n"/>
      <c r="D16" s="79" t="n"/>
      <c r="E16" s="73" t="n"/>
      <c r="F16" s="2" t="inlineStr">
        <is>
          <t>Flux de revenus</t>
        </is>
      </c>
      <c r="G16" s="79" t="n"/>
      <c r="H16" s="79" t="n"/>
      <c r="I16" s="79" t="n"/>
      <c r="J16" s="73" t="n"/>
    </row>
    <row r="17" ht="18" customHeight="1">
      <c r="A17" s="56" t="inlineStr">
        <is>
          <t>• Achat et reconditionnement des vélos : coût variable dominant
• Loyers des boutiques, masse salariale
• Stock immobilisé, risque d'invendus</t>
        </is>
      </c>
      <c r="B17" s="80" t="n"/>
      <c r="C17" s="80" t="n"/>
      <c r="D17" s="80" t="n"/>
      <c r="E17" s="74" t="n"/>
      <c r="F17" s="56" t="inlineStr">
        <is>
          <t>• Vente du vélo, encaissée en une fois à l'achat
• Accessoires
• Réparations facturées à l'acte
• Indicateur clé : marge par vélo vendu</t>
        </is>
      </c>
      <c r="G17" s="80" t="n"/>
      <c r="H17" s="80" t="n"/>
      <c r="I17" s="80" t="n"/>
      <c r="J17" s="74" t="n"/>
    </row>
    <row r="18" ht="18" customHeight="1">
      <c r="A18" s="75" t="n"/>
      <c r="E18" s="76" t="n"/>
      <c r="F18" s="75" t="n"/>
      <c r="J18" s="76" t="n"/>
    </row>
    <row r="19" ht="18" customHeight="1">
      <c r="A19" s="75" t="n"/>
      <c r="E19" s="76" t="n"/>
      <c r="F19" s="75" t="n"/>
      <c r="J19" s="76" t="n"/>
    </row>
    <row r="20" ht="18" customHeight="1">
      <c r="A20" s="75" t="n"/>
      <c r="E20" s="76" t="n"/>
      <c r="F20" s="75" t="n"/>
      <c r="J20" s="76" t="n"/>
    </row>
    <row r="21" ht="18" customHeight="1">
      <c r="A21" s="77" t="n"/>
      <c r="B21" s="81" t="n"/>
      <c r="C21" s="81" t="n"/>
      <c r="D21" s="81" t="n"/>
      <c r="E21" s="78" t="n"/>
      <c r="F21" s="77" t="n"/>
      <c r="G21" s="81" t="n"/>
      <c r="H21" s="81" t="n"/>
      <c r="I21" s="81" t="n"/>
      <c r="J21" s="78" t="n"/>
    </row>
    <row r="23" ht="16" customHeight="1">
      <c r="A23" s="35" t="inlineStr">
        <is>
          <t>2. Vélora Flex : abonnement</t>
        </is>
      </c>
    </row>
    <row r="24" ht="24" customHeight="1">
      <c r="A24" s="2" t="inlineStr">
        <is>
          <t>Partenaires clés</t>
        </is>
      </c>
      <c r="B24" s="73" t="n"/>
      <c r="C24" s="2" t="inlineStr">
        <is>
          <t>Activités clés</t>
        </is>
      </c>
      <c r="D24" s="73" t="n"/>
      <c r="E24" s="2" t="inlineStr">
        <is>
          <t>Proposition de valeur</t>
        </is>
      </c>
      <c r="F24" s="73" t="n"/>
      <c r="G24" s="2" t="inlineStr">
        <is>
          <t>Relations clients</t>
        </is>
      </c>
      <c r="H24" s="73" t="n"/>
      <c r="I24" s="2" t="inlineStr">
        <is>
          <t>Segments clients</t>
        </is>
      </c>
      <c r="J24" s="73" t="n"/>
    </row>
    <row r="25" ht="22" customHeight="1">
      <c r="A25" s="82" t="inlineStr">
        <is>
          <t>• Assureur vol (inclus dans l'offre)
• Éditeur SaaS d'abonnement
• Prestataire de paiement récurrent
• Google Ads et régies
• Loueur de vélos (au-delà de 600)</t>
        </is>
      </c>
      <c r="B25" s="74" t="n"/>
      <c r="C25" s="82" t="inlineStr">
        <is>
          <t>• Gestion de flotte : livraison, retour, remise en état
• Acquisition en ligne
• Rétention : lutter contre le churn
• Entretien inclus, sinistres vol</t>
        </is>
      </c>
      <c r="D25" s="74" t="n"/>
      <c r="E25" s="82" t="inlineStr">
        <is>
          <t>• Rouler en vélo électrique sans l'acheter
• 49 € HT par mois, tout compris : vélo, entretien, assurance vol
• Aucune avance pour le client
• Zéro souci : panne et vol pris en charge</t>
        </is>
      </c>
      <c r="F25" s="74" t="n"/>
      <c r="G25" s="82" t="inlineStr">
        <is>
          <t>• Continue : elle dure tant que l'abonnement court
• Espace client en ligne
• Contacts réguliers pour retenir</t>
        </is>
      </c>
      <c r="H25" s="74" t="n"/>
      <c r="I25" s="56" t="inlineStr">
        <is>
          <t>• Ceux qui ne veulent pas avancer le prix d'un vélo
• Navetteurs urbains, jeunes actifs, étudiants
• Ceux qui veulent tester avant d'acheter
• Piste : entreprises (forfait mobilités durables)</t>
        </is>
      </c>
      <c r="J25" s="74" t="n"/>
    </row>
    <row r="26" ht="22" customHeight="1">
      <c r="A26" s="75" t="n"/>
      <c r="B26" s="76" t="n"/>
      <c r="C26" s="75" t="n"/>
      <c r="D26" s="76" t="n"/>
      <c r="E26" s="75" t="n"/>
      <c r="F26" s="76" t="n"/>
      <c r="G26" s="75" t="n"/>
      <c r="H26" s="76" t="n"/>
      <c r="I26" s="75" t="n"/>
      <c r="J26" s="76" t="n"/>
    </row>
    <row r="27" ht="22" customHeight="1">
      <c r="A27" s="75" t="n"/>
      <c r="B27" s="76" t="n"/>
      <c r="C27" s="75" t="n"/>
      <c r="D27" s="76" t="n"/>
      <c r="E27" s="75" t="n"/>
      <c r="F27" s="76" t="n"/>
      <c r="G27" s="75" t="n"/>
      <c r="H27" s="76" t="n"/>
      <c r="I27" s="75" t="n"/>
      <c r="J27" s="76" t="n"/>
    </row>
    <row r="28" ht="22" customHeight="1">
      <c r="A28" s="75" t="n"/>
      <c r="B28" s="76" t="n"/>
      <c r="C28" s="75" t="n"/>
      <c r="D28" s="76" t="n"/>
      <c r="E28" s="75" t="n"/>
      <c r="F28" s="76" t="n"/>
      <c r="G28" s="75" t="n"/>
      <c r="H28" s="76" t="n"/>
      <c r="I28" s="75" t="n"/>
      <c r="J28" s="76" t="n"/>
    </row>
    <row r="29" ht="22" customHeight="1">
      <c r="A29" s="75" t="n"/>
      <c r="B29" s="76" t="n"/>
      <c r="C29" s="77" t="n"/>
      <c r="D29" s="78" t="n"/>
      <c r="E29" s="75" t="n"/>
      <c r="F29" s="76" t="n"/>
      <c r="G29" s="77" t="n"/>
      <c r="H29" s="78" t="n"/>
      <c r="I29" s="75" t="n"/>
      <c r="J29" s="76" t="n"/>
    </row>
    <row r="30" ht="22" customHeight="1">
      <c r="A30" s="75" t="n"/>
      <c r="B30" s="76" t="n"/>
      <c r="C30" s="2" t="inlineStr">
        <is>
          <t>Ressources clés</t>
        </is>
      </c>
      <c r="D30" s="73" t="n"/>
      <c r="E30" s="75" t="n"/>
      <c r="F30" s="76" t="n"/>
      <c r="G30" s="2" t="inlineStr">
        <is>
          <t>Canaux</t>
        </is>
      </c>
      <c r="H30" s="73" t="n"/>
      <c r="I30" s="75" t="n"/>
      <c r="J30" s="76" t="n"/>
    </row>
    <row r="31" ht="22" customHeight="1">
      <c r="A31" s="75" t="n"/>
      <c r="B31" s="76" t="n"/>
      <c r="C31" s="56" t="inlineStr">
        <is>
          <t>• Une flotte détenue (600 vélos) et louée
• Plateforme SaaS et données clients
• Chef de projet, marketing, 2 techniciens
• Boutiques en relais</t>
        </is>
      </c>
      <c r="D31" s="74" t="n"/>
      <c r="E31" s="75" t="n"/>
      <c r="F31" s="76" t="n"/>
      <c r="G31" s="82" t="inlineStr">
        <is>
          <t>• Vente en ligne
• Acquisition payante (CPC 1,10 €)
• Boutiques : retrait et entretien</t>
        </is>
      </c>
      <c r="H31" s="74" t="n"/>
      <c r="I31" s="75" t="n"/>
      <c r="J31" s="76" t="n"/>
    </row>
    <row r="32" ht="22" customHeight="1">
      <c r="A32" s="75" t="n"/>
      <c r="B32" s="76" t="n"/>
      <c r="C32" s="75" t="n"/>
      <c r="D32" s="76" t="n"/>
      <c r="E32" s="75" t="n"/>
      <c r="F32" s="76" t="n"/>
      <c r="G32" s="75" t="n"/>
      <c r="H32" s="76" t="n"/>
      <c r="I32" s="75" t="n"/>
      <c r="J32" s="76" t="n"/>
    </row>
    <row r="33" ht="22" customHeight="1">
      <c r="A33" s="75" t="n"/>
      <c r="B33" s="76" t="n"/>
      <c r="C33" s="75" t="n"/>
      <c r="D33" s="76" t="n"/>
      <c r="E33" s="75" t="n"/>
      <c r="F33" s="76" t="n"/>
      <c r="G33" s="75" t="n"/>
      <c r="H33" s="76" t="n"/>
      <c r="I33" s="75" t="n"/>
      <c r="J33" s="76" t="n"/>
    </row>
    <row r="34" ht="22" customHeight="1">
      <c r="A34" s="75" t="n"/>
      <c r="B34" s="76" t="n"/>
      <c r="C34" s="75" t="n"/>
      <c r="D34" s="76" t="n"/>
      <c r="E34" s="75" t="n"/>
      <c r="F34" s="76" t="n"/>
      <c r="G34" s="75" t="n"/>
      <c r="H34" s="76" t="n"/>
      <c r="I34" s="75" t="n"/>
      <c r="J34" s="76" t="n"/>
    </row>
    <row r="35" ht="22" customHeight="1">
      <c r="A35" s="77" t="n"/>
      <c r="B35" s="78" t="n"/>
      <c r="C35" s="77" t="n"/>
      <c r="D35" s="78" t="n"/>
      <c r="E35" s="77" t="n"/>
      <c r="F35" s="78" t="n"/>
      <c r="G35" s="77" t="n"/>
      <c r="H35" s="78" t="n"/>
      <c r="I35" s="77" t="n"/>
      <c r="J35" s="78" t="n"/>
    </row>
    <row r="36" ht="24" customHeight="1">
      <c r="A36" s="2" t="inlineStr">
        <is>
          <t>Structure de coûts</t>
        </is>
      </c>
      <c r="B36" s="79" t="n"/>
      <c r="C36" s="79" t="n"/>
      <c r="D36" s="79" t="n"/>
      <c r="E36" s="73" t="n"/>
      <c r="F36" s="2" t="inlineStr">
        <is>
          <t>Flux de revenus</t>
        </is>
      </c>
      <c r="G36" s="79" t="n"/>
      <c r="H36" s="79" t="n"/>
      <c r="I36" s="79" t="n"/>
      <c r="J36" s="73" t="n"/>
    </row>
    <row r="37" ht="18" customHeight="1">
      <c r="A37" s="82" t="inlineStr">
        <is>
          <t>• Flotte : CAPEX de 600 € par vélo, amorti 16,67 € par mois
• Acquisition : 91,67 € par abonné
• Entretien et assurance : 9 € par abonné et par mois
• SaaS : 1 500 € par mois + 2 % du CA</t>
        </is>
      </c>
      <c r="B37" s="80" t="n"/>
      <c r="C37" s="80" t="n"/>
      <c r="D37" s="80" t="n"/>
      <c r="E37" s="74" t="n"/>
      <c r="F37" s="82" t="inlineStr">
        <is>
          <t>• Récurrent : 49 € HT par mois
• Durée de vie moyenne : 1 ÷ 4 % = 25 mois
• MRR visé au mois 18 : 58 800 € HT
• Indicateur clé : marge par abonné sur sa durée de vie</t>
        </is>
      </c>
      <c r="G37" s="80" t="n"/>
      <c r="H37" s="80" t="n"/>
      <c r="I37" s="80" t="n"/>
      <c r="J37" s="74" t="n"/>
    </row>
    <row r="38" ht="18" customHeight="1">
      <c r="A38" s="75" t="n"/>
      <c r="E38" s="76" t="n"/>
      <c r="F38" s="75" t="n"/>
      <c r="J38" s="76" t="n"/>
    </row>
    <row r="39" ht="18" customHeight="1">
      <c r="A39" s="75" t="n"/>
      <c r="E39" s="76" t="n"/>
      <c r="F39" s="75" t="n"/>
      <c r="J39" s="76" t="n"/>
    </row>
    <row r="40" ht="18" customHeight="1">
      <c r="A40" s="75" t="n"/>
      <c r="E40" s="76" t="n"/>
      <c r="F40" s="75" t="n"/>
      <c r="J40" s="76" t="n"/>
    </row>
    <row r="41" ht="18" customHeight="1">
      <c r="A41" s="77" t="n"/>
      <c r="B41" s="81" t="n"/>
      <c r="C41" s="81" t="n"/>
      <c r="D41" s="81" t="n"/>
      <c r="E41" s="78" t="n"/>
      <c r="F41" s="77" t="n"/>
      <c r="G41" s="81" t="n"/>
      <c r="H41" s="81" t="n"/>
      <c r="I41" s="81" t="n"/>
      <c r="J41" s="78" t="n"/>
    </row>
    <row r="43">
      <c r="A43" s="64" t="inlineStr">
        <is>
          <t>Lecture du canvas Vélora Flex</t>
        </is>
      </c>
    </row>
    <row r="44">
      <c r="A44" s="83" t="inlineStr">
        <is>
          <t>Case orange foncé : change en profondeur</t>
        </is>
      </c>
    </row>
    <row r="45">
      <c r="A45" s="84" t="inlineStr">
        <is>
          <t>Case jaune clair : change en partie</t>
        </is>
      </c>
    </row>
    <row r="46">
      <c r="A46" s="42" t="inlineStr">
        <is>
          <t>Ce que ça change pour le budget : la vente encaissée d'un coup devient un revenu étalé, le vélo devient un actif (CAPEX) à financer avant d'encaisser, et le risque passe des invendus au churn, aux vols et à la casse.</t>
        </is>
      </c>
    </row>
  </sheetData>
  <mergeCells count="36">
    <mergeCell ref="A24:B24"/>
    <mergeCell ref="C24:D24"/>
    <mergeCell ref="C30:D30"/>
    <mergeCell ref="G25:H29"/>
    <mergeCell ref="E24:F24"/>
    <mergeCell ref="F16:J16"/>
    <mergeCell ref="A5:B15"/>
    <mergeCell ref="G31:H35"/>
    <mergeCell ref="I5:J15"/>
    <mergeCell ref="A36:E36"/>
    <mergeCell ref="C4:D4"/>
    <mergeCell ref="E4:F4"/>
    <mergeCell ref="C10:D10"/>
    <mergeCell ref="E25:F35"/>
    <mergeCell ref="A16:E16"/>
    <mergeCell ref="C5:D9"/>
    <mergeCell ref="G11:H15"/>
    <mergeCell ref="G10:H10"/>
    <mergeCell ref="F36:J36"/>
    <mergeCell ref="C25:D29"/>
    <mergeCell ref="G30:H30"/>
    <mergeCell ref="G24:H24"/>
    <mergeCell ref="I24:J24"/>
    <mergeCell ref="E5:F15"/>
    <mergeCell ref="A37:E41"/>
    <mergeCell ref="C31:D35"/>
    <mergeCell ref="G5:H9"/>
    <mergeCell ref="F17:J21"/>
    <mergeCell ref="A4:B4"/>
    <mergeCell ref="G4:H4"/>
    <mergeCell ref="I4:J4"/>
    <mergeCell ref="A25:B35"/>
    <mergeCell ref="C11:D15"/>
    <mergeCell ref="I25:J35"/>
    <mergeCell ref="F37:J41"/>
    <mergeCell ref="A17:E21"/>
  </mergeCells>
  <pageMargins left="0.75" right="0.75" top="1" bottom="1" header="0.511811023622047" footer="0.511811023622047"/>
  <pageSetup orientation="landscape" fitToHeight="0" horizontalDpi="300" verticalDpi="300"/>
  <rowBreaks count="1" manualBreakCount="1">
    <brk id="22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2026-10-07T23:41:21Z</dcterms:created>
  <dcterms:modified xsi:type="dcterms:W3CDTF">2026-10-08T12:30:47Z</dcterms:modified>
  <cp:lastModifiedBy>Justin DERBYSHIRE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0x010100F1F2D5804A2293448E20251BCF52E8EF</vt:lpwstr>
  </property>
</Properties>
</file>